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 PC\Downloads\"/>
    </mc:Choice>
  </mc:AlternateContent>
  <xr:revisionPtr revIDLastSave="0" documentId="13_ncr:1_{7199009E-7FAD-4E31-B22A-60EC6E7353C8}" xr6:coauthVersionLast="47" xr6:coauthVersionMax="47" xr10:uidLastSave="{00000000-0000-0000-0000-000000000000}"/>
  <bookViews>
    <workbookView xWindow="-120" yWindow="-120" windowWidth="20730" windowHeight="11040" activeTab="7" xr2:uid="{00000000-000D-0000-FFFF-FFFF00000000}"/>
  </bookViews>
  <sheets>
    <sheet name="Raw Data" sheetId="1" r:id="rId1"/>
    <sheet name="JOTTING" sheetId="2" r:id="rId2"/>
    <sheet name="Cleaned Data" sheetId="3" r:id="rId3"/>
    <sheet name="Detail1" sheetId="10" r:id="rId4"/>
    <sheet name="Tables" sheetId="4" r:id="rId5"/>
    <sheet name="phase 1" sheetId="7" r:id="rId6"/>
    <sheet name="phase 2" sheetId="5" r:id="rId7"/>
    <sheet name="Phase 3" sheetId="8" r:id="rId8"/>
    <sheet name="phase 4" sheetId="9" r:id="rId9"/>
    <sheet name="Phase 5" sheetId="11" r:id="rId10"/>
  </sheets>
  <definedNames>
    <definedName name="_xlnm._FilterDatabase" localSheetId="2" hidden="1">'Cleaned Data'!$B$1:$O$701</definedName>
    <definedName name="AVERAGE_SALES_VALUE">Tables!$E$4</definedName>
    <definedName name="CUSTOMERS">Tables!$C$4</definedName>
    <definedName name="Slicer_Delivery_Status">#N/A</definedName>
    <definedName name="Slicer_Sales__Year">#N/A</definedName>
    <definedName name="Slicer_Sales_Status">#N/A</definedName>
    <definedName name="top_percentage_product">Tables!$H$27</definedName>
    <definedName name="top_percentage_rep">Tables!$K$30</definedName>
    <definedName name="top_product">Tables!$H$26</definedName>
    <definedName name="top_rep">Tables!$K$29</definedName>
    <definedName name="TOTAL_CUSTOMERS">Tables!$C$4</definedName>
    <definedName name="TOTAL_QTY">Tables!$J$4</definedName>
    <definedName name="TOTAL_SALES">Tables!$G$4</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3" l="1"/>
  <c r="K30" i="4"/>
  <c r="K29" i="4"/>
  <c r="H27" i="4"/>
  <c r="H26" i="4"/>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2" i="3"/>
  <c r="F13" i="2"/>
  <c r="P2" i="3" s="1"/>
</calcChain>
</file>

<file path=xl/sharedStrings.xml><?xml version="1.0" encoding="utf-8"?>
<sst xmlns="http://schemas.openxmlformats.org/spreadsheetml/2006/main" count="9567" uniqueCount="837">
  <si>
    <t>CustomerID</t>
  </si>
  <si>
    <t>FirstName</t>
  </si>
  <si>
    <t>LastName</t>
  </si>
  <si>
    <t>City</t>
  </si>
  <si>
    <t>OrderDate</t>
  </si>
  <si>
    <t>DeliveryDate</t>
  </si>
  <si>
    <t>SalesValue</t>
  </si>
  <si>
    <t>DeliveryDuration</t>
  </si>
  <si>
    <t>DeliveryDay</t>
  </si>
  <si>
    <t>Product</t>
  </si>
  <si>
    <t>Quantity</t>
  </si>
  <si>
    <t>UnitPrice</t>
  </si>
  <si>
    <t>TotalPrice</t>
  </si>
  <si>
    <t>SalesRep</t>
  </si>
  <si>
    <t>CUS-8270-MN</t>
  </si>
  <si>
    <t xml:space="preserve">sarah  </t>
  </si>
  <si>
    <t xml:space="preserve">brown   </t>
  </si>
  <si>
    <t xml:space="preserve">houston </t>
  </si>
  <si>
    <t>Thursday</t>
  </si>
  <si>
    <t>Monitor</t>
  </si>
  <si>
    <t>Rep-B</t>
  </si>
  <si>
    <t>CUS-1860-KL</t>
  </si>
  <si>
    <t xml:space="preserve">james  </t>
  </si>
  <si>
    <t xml:space="preserve">new york </t>
  </si>
  <si>
    <t>Monday</t>
  </si>
  <si>
    <t>Laptop</t>
  </si>
  <si>
    <t>Rep-D</t>
  </si>
  <si>
    <t>CUS-6390-KL</t>
  </si>
  <si>
    <t xml:space="preserve">linda  </t>
  </si>
  <si>
    <t xml:space="preserve">johnson   </t>
  </si>
  <si>
    <t>Saturday</t>
  </si>
  <si>
    <t>Rep-C</t>
  </si>
  <si>
    <t>CUS-6191-AB</t>
  </si>
  <si>
    <t xml:space="preserve">robert  </t>
  </si>
  <si>
    <t xml:space="preserve">miller   </t>
  </si>
  <si>
    <t xml:space="preserve">chicago </t>
  </si>
  <si>
    <t>CUS-6734-AB</t>
  </si>
  <si>
    <t xml:space="preserve">williams   </t>
  </si>
  <si>
    <t>CUS-7265-MN</t>
  </si>
  <si>
    <t>Tablet</t>
  </si>
  <si>
    <t>CUS-1466-XY</t>
  </si>
  <si>
    <t xml:space="preserve">david  </t>
  </si>
  <si>
    <t>Friday</t>
  </si>
  <si>
    <t>Rep-A</t>
  </si>
  <si>
    <t>CUS-5426-AB</t>
  </si>
  <si>
    <t xml:space="preserve">michael  </t>
  </si>
  <si>
    <t xml:space="preserve">davis   </t>
  </si>
  <si>
    <t xml:space="preserve">phoenix </t>
  </si>
  <si>
    <t>CUS-6578-XY</t>
  </si>
  <si>
    <t>Headphones</t>
  </si>
  <si>
    <t>CUS-9322-AB</t>
  </si>
  <si>
    <t>Wednesday</t>
  </si>
  <si>
    <t>CUS-2685-XY</t>
  </si>
  <si>
    <t xml:space="preserve">alice  </t>
  </si>
  <si>
    <t xml:space="preserve">los angeles </t>
  </si>
  <si>
    <t>Tuesday</t>
  </si>
  <si>
    <t>CUS-1769-AB</t>
  </si>
  <si>
    <t>Phone</t>
  </si>
  <si>
    <t>CUS-7949-XY</t>
  </si>
  <si>
    <t>CUS-3433-XY</t>
  </si>
  <si>
    <t>CUS-6311-KL</t>
  </si>
  <si>
    <t xml:space="preserve">smith   </t>
  </si>
  <si>
    <t>CUS-6051-MN</t>
  </si>
  <si>
    <t>Sunday</t>
  </si>
  <si>
    <t>CUS-7420-MN</t>
  </si>
  <si>
    <t>CUS-2184-KL</t>
  </si>
  <si>
    <t>CUS-5555-KL</t>
  </si>
  <si>
    <t>CUS-4385-KL</t>
  </si>
  <si>
    <t>CUS-7396-XY</t>
  </si>
  <si>
    <t>CUS-9666-XY</t>
  </si>
  <si>
    <t>CUS-3558-XY</t>
  </si>
  <si>
    <t>CUS-8849-KL</t>
  </si>
  <si>
    <t>CUS-3047-MN</t>
  </si>
  <si>
    <t>CUS-3747-XY</t>
  </si>
  <si>
    <t>CUS-1189-MN</t>
  </si>
  <si>
    <t xml:space="preserve">john  </t>
  </si>
  <si>
    <t xml:space="preserve">jones   </t>
  </si>
  <si>
    <t>CUS-3734-AB</t>
  </si>
  <si>
    <t>CUS-4005-XY</t>
  </si>
  <si>
    <t>CUS-5658-MN</t>
  </si>
  <si>
    <t>CUS-2899-KL</t>
  </si>
  <si>
    <t>CUS-8734-AB</t>
  </si>
  <si>
    <t>CUS-2267-AB</t>
  </si>
  <si>
    <t>CUS-2528-MN</t>
  </si>
  <si>
    <t>CUS-4556-XY</t>
  </si>
  <si>
    <t>CUS-4890-XY</t>
  </si>
  <si>
    <t>CUS-9838-AB</t>
  </si>
  <si>
    <t>CUS-6393-MN</t>
  </si>
  <si>
    <t>CUS-9792-XY</t>
  </si>
  <si>
    <t>CUS-9433-KL</t>
  </si>
  <si>
    <t>CUS-8513-MN</t>
  </si>
  <si>
    <t>CUS-3612-XY</t>
  </si>
  <si>
    <t>CUS-8041-MN</t>
  </si>
  <si>
    <t>CUS-7235-MN</t>
  </si>
  <si>
    <t>CUS-6486-KL</t>
  </si>
  <si>
    <t>CUS-8099-XY</t>
  </si>
  <si>
    <t>CUS-1775-KL</t>
  </si>
  <si>
    <t>CUS-9226-XY</t>
  </si>
  <si>
    <t>CUS-4152-KL</t>
  </si>
  <si>
    <t>CUS-2585-AB</t>
  </si>
  <si>
    <t>CUS-4943-KL</t>
  </si>
  <si>
    <t>CUS-8555-MN</t>
  </si>
  <si>
    <t>CUS-4073-AB</t>
  </si>
  <si>
    <t>CUS-2021-KL</t>
  </si>
  <si>
    <t>CUS-4843-XY</t>
  </si>
  <si>
    <t>CUS-8989-MN</t>
  </si>
  <si>
    <t>CUS-7873-KL</t>
  </si>
  <si>
    <t>CUS-6675-AB</t>
  </si>
  <si>
    <t>CUS-1161-MN</t>
  </si>
  <si>
    <t>CUS-5297-MN</t>
  </si>
  <si>
    <t>CUS-1995-KL</t>
  </si>
  <si>
    <t>CUS-8629-MN</t>
  </si>
  <si>
    <t>CUS-2016-MN</t>
  </si>
  <si>
    <t>CUS-8869-XY</t>
  </si>
  <si>
    <t>CUS-7439-KL</t>
  </si>
  <si>
    <t>CUS-8892-KL</t>
  </si>
  <si>
    <t>CUS-7863-XY</t>
  </si>
  <si>
    <t>CUS-8916-XY</t>
  </si>
  <si>
    <t>CUS-9529-XY</t>
  </si>
  <si>
    <t>CUS-1878-AB</t>
  </si>
  <si>
    <t>CUS-5887-MN</t>
  </si>
  <si>
    <t>CUS-5859-AB</t>
  </si>
  <si>
    <t>CUS-7331-KL</t>
  </si>
  <si>
    <t>CUS-9571-KL</t>
  </si>
  <si>
    <t>CUS-9684-MN</t>
  </si>
  <si>
    <t>CUS-8208-KL</t>
  </si>
  <si>
    <t>CUS-6276-KL</t>
  </si>
  <si>
    <t>CUS-3062-KL</t>
  </si>
  <si>
    <t>CUS-1064-KL</t>
  </si>
  <si>
    <t>CUS-9006-XY</t>
  </si>
  <si>
    <t>CUS-3568-AB</t>
  </si>
  <si>
    <t>CUS-6463-KL</t>
  </si>
  <si>
    <t>CUS-3027-MN</t>
  </si>
  <si>
    <t>CUS-3695-XY</t>
  </si>
  <si>
    <t>CUS-6258-XY</t>
  </si>
  <si>
    <t>CUS-6618-AB</t>
  </si>
  <si>
    <t>CUS-7736-KL</t>
  </si>
  <si>
    <t>CUS-1391-MN</t>
  </si>
  <si>
    <t>CUS-6892-AB</t>
  </si>
  <si>
    <t>CUS-4561-AB</t>
  </si>
  <si>
    <t>CUS-7184-MN</t>
  </si>
  <si>
    <t>CUS-4099-AB</t>
  </si>
  <si>
    <t>CUS-7278-MN</t>
  </si>
  <si>
    <t>CUS-9392-XY</t>
  </si>
  <si>
    <t>CUS-4104-KL</t>
  </si>
  <si>
    <t>CUS-8215-AB</t>
  </si>
  <si>
    <t>CUS-3454-AB</t>
  </si>
  <si>
    <t>CUS-9996-XY</t>
  </si>
  <si>
    <t>CUS-3731-XY</t>
  </si>
  <si>
    <t>CUS-9154-AB</t>
  </si>
  <si>
    <t>CUS-6056-XY</t>
  </si>
  <si>
    <t>CUS-9110-MN</t>
  </si>
  <si>
    <t>CUS-4840-XY</t>
  </si>
  <si>
    <t>CUS-2028-AB</t>
  </si>
  <si>
    <t>CUS-8385-AB</t>
  </si>
  <si>
    <t>CUS-1502-MN</t>
  </si>
  <si>
    <t>CUS-7910-KL</t>
  </si>
  <si>
    <t>CUS-7938-AB</t>
  </si>
  <si>
    <t>CUS-5488-XY</t>
  </si>
  <si>
    <t>CUS-1206-AB</t>
  </si>
  <si>
    <t>CUS-6134-MN</t>
  </si>
  <si>
    <t>CUS-6977-KL</t>
  </si>
  <si>
    <t>CUS-8721-AB</t>
  </si>
  <si>
    <t>CUS-8035-XY</t>
  </si>
  <si>
    <t>CUS-2484-KL</t>
  </si>
  <si>
    <t>CUS-8858-XY</t>
  </si>
  <si>
    <t>CUS-1863-MN</t>
  </si>
  <si>
    <t>CUS-3790-AB</t>
  </si>
  <si>
    <t>CUS-8408-MN</t>
  </si>
  <si>
    <t>CUS-9755-XY</t>
  </si>
  <si>
    <t>CUS-6116-AB</t>
  </si>
  <si>
    <t>CUS-7019-KL</t>
  </si>
  <si>
    <t>CUS-2757-KL</t>
  </si>
  <si>
    <t>CUS-8574-KL</t>
  </si>
  <si>
    <t>CUS-7374-MN</t>
  </si>
  <si>
    <t>CUS-7892-AB</t>
  </si>
  <si>
    <t>CUS-2678-AB</t>
  </si>
  <si>
    <t>CUS-4242-AB</t>
  </si>
  <si>
    <t>CUS-5636-MN</t>
  </si>
  <si>
    <t>CUS-2059-MN</t>
  </si>
  <si>
    <t>CUS-7668-KL</t>
  </si>
  <si>
    <t>CUS-4157-MN</t>
  </si>
  <si>
    <t>CUS-6915-AB</t>
  </si>
  <si>
    <t>CUS-3693-XY</t>
  </si>
  <si>
    <t>CUS-4627-MN</t>
  </si>
  <si>
    <t>CUS-6450-AB</t>
  </si>
  <si>
    <t>CUS-2663-XY</t>
  </si>
  <si>
    <t>CUS-6592-KL</t>
  </si>
  <si>
    <t>CUS-8392-XY</t>
  </si>
  <si>
    <t>CUS-2306-XY</t>
  </si>
  <si>
    <t>CUS-7776-XY</t>
  </si>
  <si>
    <t>CUS-6864-MN</t>
  </si>
  <si>
    <t>CUS-8526-KL</t>
  </si>
  <si>
    <t>CUS-9901-AB</t>
  </si>
  <si>
    <t>CUS-6575-KL</t>
  </si>
  <si>
    <t>CUS-6530-AB</t>
  </si>
  <si>
    <t>CUS-5413-MN</t>
  </si>
  <si>
    <t>CUS-4748-KL</t>
  </si>
  <si>
    <t>CUS-1663-MN</t>
  </si>
  <si>
    <t>CUS-2998-AB</t>
  </si>
  <si>
    <t>CUS-8994-XY</t>
  </si>
  <si>
    <t>CUS-2495-KL</t>
  </si>
  <si>
    <t>CUS-4304-AB</t>
  </si>
  <si>
    <t>CUS-4763-XY</t>
  </si>
  <si>
    <t>CUS-6232-XY</t>
  </si>
  <si>
    <t>CUS-2853-KL</t>
  </si>
  <si>
    <t>CUS-7585-AB</t>
  </si>
  <si>
    <t>CUS-2291-MN</t>
  </si>
  <si>
    <t>CUS-4581-MN</t>
  </si>
  <si>
    <t>CUS-8554-XY</t>
  </si>
  <si>
    <t>CUS-8280-XY</t>
  </si>
  <si>
    <t>CUS-2636-KL</t>
  </si>
  <si>
    <t>CUS-4696-KL</t>
  </si>
  <si>
    <t>CUS-1698-AB</t>
  </si>
  <si>
    <t>CUS-5737-XY</t>
  </si>
  <si>
    <t>CUS-1854-KL</t>
  </si>
  <si>
    <t>CUS-9164-XY</t>
  </si>
  <si>
    <t>CUS-6855-AB</t>
  </si>
  <si>
    <t>CUS-8392-KL</t>
  </si>
  <si>
    <t>CUS-7528-MN</t>
  </si>
  <si>
    <t>CUS-6249-KL</t>
  </si>
  <si>
    <t>CUS-6172-KL</t>
  </si>
  <si>
    <t>CUS-2707-MN</t>
  </si>
  <si>
    <t>CUS-6791-AB</t>
  </si>
  <si>
    <t>CUS-6535-XY</t>
  </si>
  <si>
    <t>CUS-5931-MN</t>
  </si>
  <si>
    <t>CUS-4510-XY</t>
  </si>
  <si>
    <t>CUS-1202-KL</t>
  </si>
  <si>
    <t>CUS-5218-AB</t>
  </si>
  <si>
    <t>CUS-9958-MN</t>
  </si>
  <si>
    <t>CUS-5389-KL</t>
  </si>
  <si>
    <t>CUS-3327-KL</t>
  </si>
  <si>
    <t>CUS-9004-AB</t>
  </si>
  <si>
    <t>CUS-3931-AB</t>
  </si>
  <si>
    <t>CUS-8777-XY</t>
  </si>
  <si>
    <t>CUS-1197-AB</t>
  </si>
  <si>
    <t>CUS-8125-XY</t>
  </si>
  <si>
    <t>CUS-2930-AB</t>
  </si>
  <si>
    <t>CUS-7287-MN</t>
  </si>
  <si>
    <t>CUS-9800-KL</t>
  </si>
  <si>
    <t>CUS-5282-KL</t>
  </si>
  <si>
    <t>CUS-3511-KL</t>
  </si>
  <si>
    <t>CUS-1659-MN</t>
  </si>
  <si>
    <t>CUS-3811-KL</t>
  </si>
  <si>
    <t>CUS-8098-KL</t>
  </si>
  <si>
    <t>CUS-7546-XY</t>
  </si>
  <si>
    <t>CUS-2986-MN</t>
  </si>
  <si>
    <t>CUS-9338-AB</t>
  </si>
  <si>
    <t>CUS-3911-XY</t>
  </si>
  <si>
    <t>CUS-2734-KL</t>
  </si>
  <si>
    <t>CUS-2843-KL</t>
  </si>
  <si>
    <t>CUS-9680-AB</t>
  </si>
  <si>
    <t>CUS-3976-AB</t>
  </si>
  <si>
    <t>CUS-2959-XY</t>
  </si>
  <si>
    <t>CUS-6759-KL</t>
  </si>
  <si>
    <t>CUS-7694-MN</t>
  </si>
  <si>
    <t>CUS-3385-XY</t>
  </si>
  <si>
    <t>CUS-5736-AB</t>
  </si>
  <si>
    <t>CUS-2802-AB</t>
  </si>
  <si>
    <t>CUS-9155-KL</t>
  </si>
  <si>
    <t>CUS-9120-XY</t>
  </si>
  <si>
    <t>CUS-7616-KL</t>
  </si>
  <si>
    <t>CUS-6534-XY</t>
  </si>
  <si>
    <t>CUS-5061-MN</t>
  </si>
  <si>
    <t>CUS-1262-XY</t>
  </si>
  <si>
    <t>CUS-9815-MN</t>
  </si>
  <si>
    <t>CUS-3049-MN</t>
  </si>
  <si>
    <t>CUS-6423-XY</t>
  </si>
  <si>
    <t>CUS-5548-XY</t>
  </si>
  <si>
    <t>CUS-4108-XY</t>
  </si>
  <si>
    <t>CUS-8158-KL</t>
  </si>
  <si>
    <t>CUS-8400-AB</t>
  </si>
  <si>
    <t>CUS-4170-KL</t>
  </si>
  <si>
    <t>CUS-3255-XY</t>
  </si>
  <si>
    <t>CUS-2154-MN</t>
  </si>
  <si>
    <t>CUS-5499-MN</t>
  </si>
  <si>
    <t>CUS-7295-MN</t>
  </si>
  <si>
    <t>CUS-7197-MN</t>
  </si>
  <si>
    <t>CUS-2648-MN</t>
  </si>
  <si>
    <t>CUS-6539-XY</t>
  </si>
  <si>
    <t>CUS-5199-AB</t>
  </si>
  <si>
    <t>CUS-9445-MN</t>
  </si>
  <si>
    <t>CUS-3557-AB</t>
  </si>
  <si>
    <t>CUS-1098-XY</t>
  </si>
  <si>
    <t>CUS-3200-XY</t>
  </si>
  <si>
    <t>CUS-3961-AB</t>
  </si>
  <si>
    <t>CUS-5973-KL</t>
  </si>
  <si>
    <t>CUS-5433-KL</t>
  </si>
  <si>
    <t>CUS-3869-XY</t>
  </si>
  <si>
    <t>CUS-1956-MN</t>
  </si>
  <si>
    <t>CUS-9352-XY</t>
  </si>
  <si>
    <t>CUS-6699-AB</t>
  </si>
  <si>
    <t>CUS-7944-XY</t>
  </si>
  <si>
    <t>CUS-5493-MN</t>
  </si>
  <si>
    <t>CUS-5911-KL</t>
  </si>
  <si>
    <t>CUS-4987-MN</t>
  </si>
  <si>
    <t>CUS-7015-KL</t>
  </si>
  <si>
    <t>CUS-2218-MN</t>
  </si>
  <si>
    <t>CUS-5496-XY</t>
  </si>
  <si>
    <t>CUS-5735-KL</t>
  </si>
  <si>
    <t>CUS-5555-XY</t>
  </si>
  <si>
    <t>CUS-9050-KL</t>
  </si>
  <si>
    <t>CUS-4446-MN</t>
  </si>
  <si>
    <t>CUS-2045-MN</t>
  </si>
  <si>
    <t>CUS-7893-MN</t>
  </si>
  <si>
    <t>CUS-2693-MN</t>
  </si>
  <si>
    <t>CUS-4436-XY</t>
  </si>
  <si>
    <t>CUS-9754-MN</t>
  </si>
  <si>
    <t>CUS-6895-MN</t>
  </si>
  <si>
    <t>CUS-4354-XY</t>
  </si>
  <si>
    <t>CUS-1225-MN</t>
  </si>
  <si>
    <t>CUS-5893-MN</t>
  </si>
  <si>
    <t>CUS-8022-KL</t>
  </si>
  <si>
    <t>CUS-6600-XY</t>
  </si>
  <si>
    <t>CUS-8996-MN</t>
  </si>
  <si>
    <t>CUS-8683-KL</t>
  </si>
  <si>
    <t>CUS-5642-KL</t>
  </si>
  <si>
    <t>CUS-8679-AB</t>
  </si>
  <si>
    <t>CUS-9208-AB</t>
  </si>
  <si>
    <t>CUS-8339-AB</t>
  </si>
  <si>
    <t>CUS-3205-XY</t>
  </si>
  <si>
    <t>CUS-2069-MN</t>
  </si>
  <si>
    <t>CUS-4444-MN</t>
  </si>
  <si>
    <t>CUS-2060-AB</t>
  </si>
  <si>
    <t>CUS-3327-AB</t>
  </si>
  <si>
    <t>CUS-4420-KL</t>
  </si>
  <si>
    <t>CUS-1301-XY</t>
  </si>
  <si>
    <t>CUS-1606-AB</t>
  </si>
  <si>
    <t>CUS-4170-AB</t>
  </si>
  <si>
    <t>CUS-1699-AB</t>
  </si>
  <si>
    <t>CUS-6088-XY</t>
  </si>
  <si>
    <t>CUS-1190-AB</t>
  </si>
  <si>
    <t>CUS-1980-MN</t>
  </si>
  <si>
    <t>CUS-3975-KL</t>
  </si>
  <si>
    <t>CUS-7102-MN</t>
  </si>
  <si>
    <t>CUS-2184-XY</t>
  </si>
  <si>
    <t>CUS-4327-MN</t>
  </si>
  <si>
    <t>CUS-4394-AB</t>
  </si>
  <si>
    <t>CUS-9319-KL</t>
  </si>
  <si>
    <t>CUS-2816-MN</t>
  </si>
  <si>
    <t>CUS-6854-XY</t>
  </si>
  <si>
    <t>CUS-7709-MN</t>
  </si>
  <si>
    <t>CUS-1569-XY</t>
  </si>
  <si>
    <t>CUS-6442-XY</t>
  </si>
  <si>
    <t>CUS-2895-AB</t>
  </si>
  <si>
    <t>CUS-3733-AB</t>
  </si>
  <si>
    <t>CUS-4863-MN</t>
  </si>
  <si>
    <t>CUS-8455-XY</t>
  </si>
  <si>
    <t>CUS-5014-KL</t>
  </si>
  <si>
    <t>CUS-2686-AB</t>
  </si>
  <si>
    <t>CUS-4009-AB</t>
  </si>
  <si>
    <t>CUS-8806-XY</t>
  </si>
  <si>
    <t>CUS-1154-AB</t>
  </si>
  <si>
    <t>CUS-2409-AB</t>
  </si>
  <si>
    <t>CUS-1784-KL</t>
  </si>
  <si>
    <t>CUS-9096-MN</t>
  </si>
  <si>
    <t>CUS-8560-MN</t>
  </si>
  <si>
    <t>CUS-8343-XY</t>
  </si>
  <si>
    <t>CUS-8206-XY</t>
  </si>
  <si>
    <t>CUS-6596-AB</t>
  </si>
  <si>
    <t>CUS-6801-XY</t>
  </si>
  <si>
    <t>CUS-3806-AB</t>
  </si>
  <si>
    <t>CUS-1537-MN</t>
  </si>
  <si>
    <t>CUS-6986-KL</t>
  </si>
  <si>
    <t>CUS-2841-MN</t>
  </si>
  <si>
    <t>CUS-9716-AB</t>
  </si>
  <si>
    <t>CUS-7971-XY</t>
  </si>
  <si>
    <t>CUS-6625-MN</t>
  </si>
  <si>
    <t>CUS-3950-XY</t>
  </si>
  <si>
    <t>CUS-8992-XY</t>
  </si>
  <si>
    <t>CUS-5780-KL</t>
  </si>
  <si>
    <t>CUS-3368-MN</t>
  </si>
  <si>
    <t>CUS-7655-AB</t>
  </si>
  <si>
    <t>CUS-9173-AB</t>
  </si>
  <si>
    <t>CUS-5495-KL</t>
  </si>
  <si>
    <t>CUS-7002-XY</t>
  </si>
  <si>
    <t>CUS-7614-XY</t>
  </si>
  <si>
    <t>CUS-6919-AB</t>
  </si>
  <si>
    <t>CUS-1853-KL</t>
  </si>
  <si>
    <t>CUS-5146-MN</t>
  </si>
  <si>
    <t>CUS-4769-XY</t>
  </si>
  <si>
    <t>CUS-1574-AB</t>
  </si>
  <si>
    <t>CUS-2148-XY</t>
  </si>
  <si>
    <t>CUS-7293-MN</t>
  </si>
  <si>
    <t>CUS-7457-AB</t>
  </si>
  <si>
    <t>CUS-8509-KL</t>
  </si>
  <si>
    <t>CUS-5777-MN</t>
  </si>
  <si>
    <t>CUS-4854-MN</t>
  </si>
  <si>
    <t>CUS-3491-XY</t>
  </si>
  <si>
    <t>CUS-4124-KL</t>
  </si>
  <si>
    <t>CUS-6691-AB</t>
  </si>
  <si>
    <t>CUS-4051-AB</t>
  </si>
  <si>
    <t>CUS-1004-KL</t>
  </si>
  <si>
    <t>CUS-6222-AB</t>
  </si>
  <si>
    <t>CUS-6315-XY</t>
  </si>
  <si>
    <t>CUS-5869-MN</t>
  </si>
  <si>
    <t>CUS-1876-MN</t>
  </si>
  <si>
    <t>CUS-8027-XY</t>
  </si>
  <si>
    <t>CUS-5142-AB</t>
  </si>
  <si>
    <t>CUS-7966-KL</t>
  </si>
  <si>
    <t>CUS-8079-AB</t>
  </si>
  <si>
    <t>CUS-8987-XY</t>
  </si>
  <si>
    <t>CUS-7799-XY</t>
  </si>
  <si>
    <t>CUS-5465-MN</t>
  </si>
  <si>
    <t>CUS-1635-XY</t>
  </si>
  <si>
    <t>CUS-5752-XY</t>
  </si>
  <si>
    <t>CUS-9311-XY</t>
  </si>
  <si>
    <t>CUS-1830-XY</t>
  </si>
  <si>
    <t>CUS-6177-KL</t>
  </si>
  <si>
    <t>CUS-9932-KL</t>
  </si>
  <si>
    <t>CUS-9308-KL</t>
  </si>
  <si>
    <t>CUS-6949-MN</t>
  </si>
  <si>
    <t>CUS-3838-XY</t>
  </si>
  <si>
    <t>CUS-2150-XY</t>
  </si>
  <si>
    <t>CUS-8560-XY</t>
  </si>
  <si>
    <t>CUS-2931-MN</t>
  </si>
  <si>
    <t>CUS-2664-MN</t>
  </si>
  <si>
    <t>CUS-2081-XY</t>
  </si>
  <si>
    <t>CUS-1512-KL</t>
  </si>
  <si>
    <t>CUS-8805-KL</t>
  </si>
  <si>
    <t>CUS-6237-KL</t>
  </si>
  <si>
    <t>CUS-1559-AB</t>
  </si>
  <si>
    <t>CUS-4672-MN</t>
  </si>
  <si>
    <t>CUS-8404-KL</t>
  </si>
  <si>
    <t>CUS-4343-AB</t>
  </si>
  <si>
    <t>CUS-5070-XY</t>
  </si>
  <si>
    <t>CUS-1580-MN</t>
  </si>
  <si>
    <t>CUS-8004-AB</t>
  </si>
  <si>
    <t>CUS-9130-XY</t>
  </si>
  <si>
    <t>CUS-4147-XY</t>
  </si>
  <si>
    <t>CUS-5249-MN</t>
  </si>
  <si>
    <t>CUS-2679-XY</t>
  </si>
  <si>
    <t>CUS-4506-AB</t>
  </si>
  <si>
    <t>CUS-8253-KL</t>
  </si>
  <si>
    <t>CUS-3744-MN</t>
  </si>
  <si>
    <t>CUS-6188-KL</t>
  </si>
  <si>
    <t>CUS-3141-MN</t>
  </si>
  <si>
    <t>CUS-7617-AB</t>
  </si>
  <si>
    <t>CUS-3479-AB</t>
  </si>
  <si>
    <t>CUS-7484-AB</t>
  </si>
  <si>
    <t>CUS-8421-XY</t>
  </si>
  <si>
    <t>CUS-5452-XY</t>
  </si>
  <si>
    <t>CUS-6881-AB</t>
  </si>
  <si>
    <t>CUS-7665-KL</t>
  </si>
  <si>
    <t>CUS-3849-KL</t>
  </si>
  <si>
    <t>CUS-8390-MN</t>
  </si>
  <si>
    <t>CUS-7905-AB</t>
  </si>
  <si>
    <t>CUS-3489-AB</t>
  </si>
  <si>
    <t>CUS-5611-AB</t>
  </si>
  <si>
    <t>CUS-3839-AB</t>
  </si>
  <si>
    <t>CUS-9527-MN</t>
  </si>
  <si>
    <t>CUS-6878-XY</t>
  </si>
  <si>
    <t>CUS-7303-MN</t>
  </si>
  <si>
    <t>CUS-1851-XY</t>
  </si>
  <si>
    <t>CUS-2687-XY</t>
  </si>
  <si>
    <t>CUS-7833-AB</t>
  </si>
  <si>
    <t>CUS-3427-XY</t>
  </si>
  <si>
    <t>CUS-5000-XY</t>
  </si>
  <si>
    <t>CUS-6052-AB</t>
  </si>
  <si>
    <t>CUS-3738-XY</t>
  </si>
  <si>
    <t>CUS-6732-KL</t>
  </si>
  <si>
    <t>CUS-6387-XY</t>
  </si>
  <si>
    <t>CUS-9002-KL</t>
  </si>
  <si>
    <t>CUS-6536-XY</t>
  </si>
  <si>
    <t>CUS-4913-AB</t>
  </si>
  <si>
    <t>CUS-2066-XY</t>
  </si>
  <si>
    <t>CUS-8723-AB</t>
  </si>
  <si>
    <t>CUS-5380-MN</t>
  </si>
  <si>
    <t>CUS-5107-AB</t>
  </si>
  <si>
    <t>CUS-6726-MN</t>
  </si>
  <si>
    <t>CUS-4373-MN</t>
  </si>
  <si>
    <t>CUS-9945-KL</t>
  </si>
  <si>
    <t>CUS-3082-AB</t>
  </si>
  <si>
    <t>CUS-9967-MN</t>
  </si>
  <si>
    <t>CUS-7748-XY</t>
  </si>
  <si>
    <t>CUS-1417-KL</t>
  </si>
  <si>
    <t>CUS-9306-KL</t>
  </si>
  <si>
    <t>CUS-9808-MN</t>
  </si>
  <si>
    <t>CUS-4974-KL</t>
  </si>
  <si>
    <t>CUS-4267-MN</t>
  </si>
  <si>
    <t>CUS-1825-AB</t>
  </si>
  <si>
    <t>CUS-8668-XY</t>
  </si>
  <si>
    <t>CUS-6745-KL</t>
  </si>
  <si>
    <t>CUS-1412-XY</t>
  </si>
  <si>
    <t>CUS-8543-KL</t>
  </si>
  <si>
    <t>CUS-8587-XY</t>
  </si>
  <si>
    <t>CUS-1728-AB</t>
  </si>
  <si>
    <t>CUS-8164-MN</t>
  </si>
  <si>
    <t>CUS-9867-KL</t>
  </si>
  <si>
    <t>CUS-6988-KL</t>
  </si>
  <si>
    <t>CUS-3504-KL</t>
  </si>
  <si>
    <t>CUS-3967-KL</t>
  </si>
  <si>
    <t>CUS-3786-MN</t>
  </si>
  <si>
    <t>CUS-2122-KL</t>
  </si>
  <si>
    <t>CUS-5079-KL</t>
  </si>
  <si>
    <t>CUS-2571-AB</t>
  </si>
  <si>
    <t>CUS-6073-AB</t>
  </si>
  <si>
    <t>CUS-6104-KL</t>
  </si>
  <si>
    <t>CUS-3143-XY</t>
  </si>
  <si>
    <t>CUS-7806-KL</t>
  </si>
  <si>
    <t>CUS-8357-XY</t>
  </si>
  <si>
    <t>CUS-4440-MN</t>
  </si>
  <si>
    <t>CUS-4766-MN</t>
  </si>
  <si>
    <t>CUS-6644-XY</t>
  </si>
  <si>
    <t>CUS-3914-KL</t>
  </si>
  <si>
    <t>CUS-5968-KL</t>
  </si>
  <si>
    <t>CUS-6917-KL</t>
  </si>
  <si>
    <t>CUS-9787-MN</t>
  </si>
  <si>
    <t>CUS-1728-XY</t>
  </si>
  <si>
    <t>CUS-2365-AB</t>
  </si>
  <si>
    <t>CUS-5492-AB</t>
  </si>
  <si>
    <t>CUS-1698-XY</t>
  </si>
  <si>
    <t>CUS-8186-XY</t>
  </si>
  <si>
    <t>CUS-1395-XY</t>
  </si>
  <si>
    <t>CUS-8400-KL</t>
  </si>
  <si>
    <t>CUS-9082-KL</t>
  </si>
  <si>
    <t>CUS-5171-KL</t>
  </si>
  <si>
    <t>CUS-5360-MN</t>
  </si>
  <si>
    <t>CUS-3502-MN</t>
  </si>
  <si>
    <t>CUS-1717-MN</t>
  </si>
  <si>
    <t>CUS-3782-MN</t>
  </si>
  <si>
    <t>CUS-5946-AB</t>
  </si>
  <si>
    <t>CUS-6486-XY</t>
  </si>
  <si>
    <t>CUS-9335-XY</t>
  </si>
  <si>
    <t>CUS-5980-MN</t>
  </si>
  <si>
    <t>CUS-8266-MN</t>
  </si>
  <si>
    <t>CUS-5491-XY</t>
  </si>
  <si>
    <t>CUS-8192-KL</t>
  </si>
  <si>
    <t>CUS-6588-XY</t>
  </si>
  <si>
    <t>CUS-8651-XY</t>
  </si>
  <si>
    <t>CUS-4636-XY</t>
  </si>
  <si>
    <t>CUS-2167-XY</t>
  </si>
  <si>
    <t>CUS-2062-XY</t>
  </si>
  <si>
    <t>CUS-3156-KL</t>
  </si>
  <si>
    <t>CUS-8860-KL</t>
  </si>
  <si>
    <t>CUS-6161-MN</t>
  </si>
  <si>
    <t>CUS-6305-XY</t>
  </si>
  <si>
    <t>CUS-7541-MN</t>
  </si>
  <si>
    <t>CUS-5729-AB</t>
  </si>
  <si>
    <t>CUS-8330-KL</t>
  </si>
  <si>
    <t>CUS-6334-AB</t>
  </si>
  <si>
    <t>CUS-9924-KL</t>
  </si>
  <si>
    <t>CUS-5330-XY</t>
  </si>
  <si>
    <t>CUS-9010-XY</t>
  </si>
  <si>
    <t>CUS-7801-XY</t>
  </si>
  <si>
    <t>CUS-5846-KL</t>
  </si>
  <si>
    <t>CUS-7731-XY</t>
  </si>
  <si>
    <t>CUS-8241-XY</t>
  </si>
  <si>
    <t>CUS-1953-XY</t>
  </si>
  <si>
    <t>CUS-3539-AB</t>
  </si>
  <si>
    <t>CUS-8056-AB</t>
  </si>
  <si>
    <t>CUS-2542-KL</t>
  </si>
  <si>
    <t>CUS-6293-AB</t>
  </si>
  <si>
    <t>CUS-2191-XY</t>
  </si>
  <si>
    <t>CUS-7313-KL</t>
  </si>
  <si>
    <t>CUS-7938-MN</t>
  </si>
  <si>
    <t>CUS-3681-MN</t>
  </si>
  <si>
    <t>CUS-2540-AB</t>
  </si>
  <si>
    <t>CUS-7172-AB</t>
  </si>
  <si>
    <t>CUS-6541-KL</t>
  </si>
  <si>
    <t>CUS-2365-KL</t>
  </si>
  <si>
    <t>CUS-9691-MN</t>
  </si>
  <si>
    <t>CUS-9702-XY</t>
  </si>
  <si>
    <t>CUS-8494-KL</t>
  </si>
  <si>
    <t>CUS-5312-MN</t>
  </si>
  <si>
    <t>CUS-2324-XY</t>
  </si>
  <si>
    <t>CUS-4141-MN</t>
  </si>
  <si>
    <t>CUS-8419-MN</t>
  </si>
  <si>
    <t>CUS-4486-KL</t>
  </si>
  <si>
    <t>CUS-2810-MN</t>
  </si>
  <si>
    <t>CUS-7588-XY</t>
  </si>
  <si>
    <t>CUS-3923-XY</t>
  </si>
  <si>
    <t>CUS-6301-XY</t>
  </si>
  <si>
    <t>CUS-5186-AB</t>
  </si>
  <si>
    <t>CUS-9905-XY</t>
  </si>
  <si>
    <t>CUS-5268-MN</t>
  </si>
  <si>
    <t>CUS-5748-KL</t>
  </si>
  <si>
    <t>CUS-5849-KL</t>
  </si>
  <si>
    <t>CUS-4709-MN</t>
  </si>
  <si>
    <t>CUS-7619-MN</t>
  </si>
  <si>
    <t>CUS-9647-XY</t>
  </si>
  <si>
    <t>CUS-4072-AB</t>
  </si>
  <si>
    <t>CUS-7530-AB</t>
  </si>
  <si>
    <t>CUS-1504-KL</t>
  </si>
  <si>
    <t>CUS-2214-AB</t>
  </si>
  <si>
    <t>CUS-2531-AB</t>
  </si>
  <si>
    <t>CUS-8576-KL</t>
  </si>
  <si>
    <t>CUS-1823-MN</t>
  </si>
  <si>
    <t>CUS-1928-MN</t>
  </si>
  <si>
    <t>CUS-6029-XY</t>
  </si>
  <si>
    <t>CUS-1133-XY</t>
  </si>
  <si>
    <t>CUS-3105-MN</t>
  </si>
  <si>
    <t>CUS-7316-XY</t>
  </si>
  <si>
    <t>CUS-2852-AB</t>
  </si>
  <si>
    <t>CUS-5910-XY</t>
  </si>
  <si>
    <t>CUS-5175-AB</t>
  </si>
  <si>
    <t>CUS-6348-XY</t>
  </si>
  <si>
    <t>CUS-7190-KL</t>
  </si>
  <si>
    <t>CUS-2256-AB</t>
  </si>
  <si>
    <t>CUS-4376-XY</t>
  </si>
  <si>
    <t>CUS-6645-AB</t>
  </si>
  <si>
    <t>CUS-4486-MN</t>
  </si>
  <si>
    <t>CUS-4584-XY</t>
  </si>
  <si>
    <t>CUS-9053-KL</t>
  </si>
  <si>
    <t>CUS-4330-AB</t>
  </si>
  <si>
    <t>CUS-3703-MN</t>
  </si>
  <si>
    <t>CUS-9662-XY</t>
  </si>
  <si>
    <t>CUS-9120-MN</t>
  </si>
  <si>
    <t>CUS-8114-MN</t>
  </si>
  <si>
    <t>CUS-2353-MN</t>
  </si>
  <si>
    <t>CUS-6063-XY</t>
  </si>
  <si>
    <t>CUS-9549-XY</t>
  </si>
  <si>
    <t>CUS-8575-AB</t>
  </si>
  <si>
    <t>CUS-1667-XY</t>
  </si>
  <si>
    <t>CUS-5468-XY</t>
  </si>
  <si>
    <t>CUS-7819-KL</t>
  </si>
  <si>
    <t>CUS-4719-MN</t>
  </si>
  <si>
    <t>CUS-3745-XY</t>
  </si>
  <si>
    <t>CUS-8483-MN</t>
  </si>
  <si>
    <t>CUS-1539-MN</t>
  </si>
  <si>
    <t>CUS-5964-MN</t>
  </si>
  <si>
    <t>CUS-5835-KL</t>
  </si>
  <si>
    <t>CUS-4775-KL</t>
  </si>
  <si>
    <t>CUS-7042-AB</t>
  </si>
  <si>
    <t>CUS-8102-XY</t>
  </si>
  <si>
    <t>CUS-8312-AB</t>
  </si>
  <si>
    <t>CUS-6320-AB</t>
  </si>
  <si>
    <t>CUS-7132-AB</t>
  </si>
  <si>
    <t>CUS-8891-MN</t>
  </si>
  <si>
    <t>CUS-3779-KL</t>
  </si>
  <si>
    <t>CUS-1924-AB</t>
  </si>
  <si>
    <t>CUS-2581-KL</t>
  </si>
  <si>
    <t>CUS-8714-AB</t>
  </si>
  <si>
    <t>CUS-4324-XY</t>
  </si>
  <si>
    <t>CUS-6713-KL</t>
  </si>
  <si>
    <t>CUS-8026-XY</t>
  </si>
  <si>
    <t>CUS-1255-AB</t>
  </si>
  <si>
    <t>CUS-5804-KL</t>
  </si>
  <si>
    <t>CUS-2838-XY</t>
  </si>
  <si>
    <t>CUS-1009-MN</t>
  </si>
  <si>
    <t>CUS-3871-XY</t>
  </si>
  <si>
    <t>CUS-9989-MN</t>
  </si>
  <si>
    <t>CUS-8409-KL</t>
  </si>
  <si>
    <t>CUS-8418-MN</t>
  </si>
  <si>
    <t>CUS-6124-XY</t>
  </si>
  <si>
    <t>CUS-2015-MN</t>
  </si>
  <si>
    <t>CUS-3193-AB</t>
  </si>
  <si>
    <t>CUS-9415-MN</t>
  </si>
  <si>
    <t>CUS-8449-KL</t>
  </si>
  <si>
    <t>CUS-5158-AB</t>
  </si>
  <si>
    <t>CUS-4925-XY</t>
  </si>
  <si>
    <t>CUS-7970-AB</t>
  </si>
  <si>
    <t>CUS-7938-XY</t>
  </si>
  <si>
    <t>CUS-5784-AB</t>
  </si>
  <si>
    <t>CUS-2633-KL</t>
  </si>
  <si>
    <t>CUS-9702-AB</t>
  </si>
  <si>
    <t>CUS-1384-XY</t>
  </si>
  <si>
    <t>CUS-1404-AB</t>
  </si>
  <si>
    <t>CUS-9175-KL</t>
  </si>
  <si>
    <t>CUS-3000-MN</t>
  </si>
  <si>
    <t>CUS-6989-XY</t>
  </si>
  <si>
    <t>CUS-2460-MN</t>
  </si>
  <si>
    <t>CUS-8190-XY</t>
  </si>
  <si>
    <t>CUS-8140-MN</t>
  </si>
  <si>
    <t>CUS-4636-AB</t>
  </si>
  <si>
    <t>CUS-5809-AB</t>
  </si>
  <si>
    <t>CUS-5178-KL</t>
  </si>
  <si>
    <t>CUS-8245-KL</t>
  </si>
  <si>
    <t>CUS-7600-MN</t>
  </si>
  <si>
    <t>CUS-6997-AB</t>
  </si>
  <si>
    <t>CUS-3048-XY</t>
  </si>
  <si>
    <t>CUS-5780-XY</t>
  </si>
  <si>
    <t>CUS-1716-XY</t>
  </si>
  <si>
    <t>CUS-8939-XY</t>
  </si>
  <si>
    <t>CUS-6565-AB</t>
  </si>
  <si>
    <t>CUS-5544-XY</t>
  </si>
  <si>
    <t>CUS-5976-AB</t>
  </si>
  <si>
    <t>CUS-4419-KL</t>
  </si>
  <si>
    <t>CUS-8239-KL</t>
  </si>
  <si>
    <t>CUS-1249-AB</t>
  </si>
  <si>
    <t>CUS-9865-XY</t>
  </si>
  <si>
    <t>CUS-1770-MN</t>
  </si>
  <si>
    <t>CUS-5363-MN</t>
  </si>
  <si>
    <t>CUS-2077-MN</t>
  </si>
  <si>
    <t>CUS-9427-MN</t>
  </si>
  <si>
    <t>CUS-9580-MN</t>
  </si>
  <si>
    <t>CUS-8901-XY</t>
  </si>
  <si>
    <t>CUS-5858-XY</t>
  </si>
  <si>
    <t>CUS-7544-AB</t>
  </si>
  <si>
    <t>CUS-5719-MN</t>
  </si>
  <si>
    <t>CUS-3814-XY</t>
  </si>
  <si>
    <t>CUS-4374-KL</t>
  </si>
  <si>
    <t>CUS-2252-KL</t>
  </si>
  <si>
    <t>CUS-7996-XY</t>
  </si>
  <si>
    <t>CUS-5673-KL</t>
  </si>
  <si>
    <t>CUS-5530-AB</t>
  </si>
  <si>
    <t>CUS-7881-KL</t>
  </si>
  <si>
    <t>CUS-7949-KL</t>
  </si>
  <si>
    <t>CUS-7241-MN</t>
  </si>
  <si>
    <t>CUS-9017-XY</t>
  </si>
  <si>
    <t>CUS-7941-AB</t>
  </si>
  <si>
    <t>CUS-8002-KL</t>
  </si>
  <si>
    <t>CUS-2331-MN</t>
  </si>
  <si>
    <t>CUS-5261-MN</t>
  </si>
  <si>
    <t>CUS-8648-AB</t>
  </si>
  <si>
    <t>CUS-6115-AB</t>
  </si>
  <si>
    <t>CUS-5637-AB</t>
  </si>
  <si>
    <t>CUS-5854-XY</t>
  </si>
  <si>
    <t>CUS-4177-AB</t>
  </si>
  <si>
    <t>CUS-8730-KL</t>
  </si>
  <si>
    <t>CUS-3180-KL</t>
  </si>
  <si>
    <t>CUS-5892-KL</t>
  </si>
  <si>
    <t>CUS-8043-AB</t>
  </si>
  <si>
    <t>CUS-1137-MN</t>
  </si>
  <si>
    <t>CUS-7327-MN</t>
  </si>
  <si>
    <t>CUS-4472-KL</t>
  </si>
  <si>
    <t>CUS-6449-KL</t>
  </si>
  <si>
    <t>CUS-3832-XY</t>
  </si>
  <si>
    <t>CUS-4579-AB</t>
  </si>
  <si>
    <t>CUS-6971-XY</t>
  </si>
  <si>
    <t>CUS-5164-MN</t>
  </si>
  <si>
    <t>CUS-8941-MN</t>
  </si>
  <si>
    <t>CUS-6569-XY</t>
  </si>
  <si>
    <t>CUS-5300-XY</t>
  </si>
  <si>
    <t>CUS-7269-AB</t>
  </si>
  <si>
    <t>CUS-4818-XY</t>
  </si>
  <si>
    <t>CUS-2906-KL</t>
  </si>
  <si>
    <t>CUS-7254-XY</t>
  </si>
  <si>
    <t>CUS-1760-KL</t>
  </si>
  <si>
    <t>CUS-8830-XY</t>
  </si>
  <si>
    <t>CUS-8350-MN</t>
  </si>
  <si>
    <t>CUS-7238-AB</t>
  </si>
  <si>
    <t>CUS-7090-XY</t>
  </si>
  <si>
    <t>CUS-7031-AB</t>
  </si>
  <si>
    <t>CUS-8687-AB</t>
  </si>
  <si>
    <t>CUS-9472-KL</t>
  </si>
  <si>
    <t>CUS-2887-XY</t>
  </si>
  <si>
    <t>CUS-4266-KL</t>
  </si>
  <si>
    <t>CUS-1666-MN</t>
  </si>
  <si>
    <t>CUS-5188-AB</t>
  </si>
  <si>
    <t>CUS-1671-KL</t>
  </si>
  <si>
    <t>CUS-7777-KL</t>
  </si>
  <si>
    <t>CUS-8570-AB</t>
  </si>
  <si>
    <t>Insights</t>
  </si>
  <si>
    <t>how many customer transacted with the business?</t>
  </si>
  <si>
    <t>what is the average sales values?</t>
  </si>
  <si>
    <t>Avg Sales Values</t>
  </si>
  <si>
    <t>Total revenue generated?</t>
  </si>
  <si>
    <t>Total Sales</t>
  </si>
  <si>
    <t>How many quantites of products were sold?</t>
  </si>
  <si>
    <t>Total Quantity</t>
  </si>
  <si>
    <t>Total Customers</t>
  </si>
  <si>
    <t>KPIs</t>
  </si>
  <si>
    <t xml:space="preserve">Houston </t>
  </si>
  <si>
    <t xml:space="preserve">New York </t>
  </si>
  <si>
    <t xml:space="preserve">Chicago </t>
  </si>
  <si>
    <t xml:space="preserve">Phoenix </t>
  </si>
  <si>
    <t xml:space="preserve">Los Angeles </t>
  </si>
  <si>
    <t>Month Sales</t>
  </si>
  <si>
    <t>Nov</t>
  </si>
  <si>
    <t>May</t>
  </si>
  <si>
    <t>Jan</t>
  </si>
  <si>
    <t>Jul</t>
  </si>
  <si>
    <t>Dec</t>
  </si>
  <si>
    <t>Feb</t>
  </si>
  <si>
    <t>Jun</t>
  </si>
  <si>
    <t>Sep</t>
  </si>
  <si>
    <t>Mar</t>
  </si>
  <si>
    <t>Aug</t>
  </si>
  <si>
    <t>Apr</t>
  </si>
  <si>
    <t>Oct</t>
  </si>
  <si>
    <t>Week Sales</t>
  </si>
  <si>
    <t>Calcuation</t>
  </si>
  <si>
    <t>sales month</t>
  </si>
  <si>
    <t>sales year</t>
  </si>
  <si>
    <t>sales weeks</t>
  </si>
  <si>
    <t>cleaned the city columns</t>
  </si>
  <si>
    <t>Compute Sales Status</t>
  </si>
  <si>
    <t>find averages</t>
  </si>
  <si>
    <t>created sales status using if</t>
  </si>
  <si>
    <t>if(…..)</t>
  </si>
  <si>
    <t>Sales Status</t>
  </si>
  <si>
    <t>Report</t>
  </si>
  <si>
    <t>Sales by Cities</t>
  </si>
  <si>
    <t>Sales by Months</t>
  </si>
  <si>
    <t>Qty by Months</t>
  </si>
  <si>
    <t>% Sales by Products</t>
  </si>
  <si>
    <t>% Sales by Sales Reps</t>
  </si>
  <si>
    <t>Others</t>
  </si>
  <si>
    <t>• DeliveryDuration less than 3 days</t>
  </si>
  <si>
    <t>• Shows fast fulfilment</t>
  </si>
  <si>
    <t>• Helps you reward reps or logistics teams</t>
  </si>
  <si>
    <t>• DeliveryDuration between 3 and 6 days</t>
  </si>
  <si>
    <t>• Falls within expected timelines for most orders</t>
  </si>
  <si>
    <t>• Useful for measuring consistency</t>
  </si>
  <si>
    <t>• DeliveryDuration between 7 and 9 days</t>
  </si>
  <si>
    <t>• Indicates delays in processing or logistics</t>
  </si>
  <si>
    <t>• Helps you spot bottlenecks by city or product type</t>
  </si>
  <si>
    <t>• DeliveryDuration above 9 days</t>
  </si>
  <si>
    <t>• Signals service issues</t>
  </si>
  <si>
    <t>• Useful for operational review and customer impact analysis</t>
  </si>
  <si>
    <t>Metrics</t>
  </si>
  <si>
    <t>how is our delivery affecting sales?</t>
  </si>
  <si>
    <t>Delivery Status</t>
  </si>
  <si>
    <t>a) Early Delivery</t>
  </si>
  <si>
    <t>b) Standard Delivery</t>
  </si>
  <si>
    <t>c) Slow Delivery</t>
  </si>
  <si>
    <t>d) Late Delivery</t>
  </si>
  <si>
    <t>Slicers</t>
  </si>
  <si>
    <t>Sales  Status</t>
  </si>
  <si>
    <t>Sales  Year</t>
  </si>
  <si>
    <t>Count of CustomerID</t>
  </si>
  <si>
    <t>TOTAL CUSTOMERS</t>
  </si>
  <si>
    <t>Average of SalesValue</t>
  </si>
  <si>
    <t>Sum of TotalPrice</t>
  </si>
  <si>
    <t>Sum of Quantity</t>
  </si>
  <si>
    <t>AVERAGE SALES VALUE</t>
  </si>
  <si>
    <t>TOTAL SALES</t>
  </si>
  <si>
    <t>TOTAL QUANTITY</t>
  </si>
  <si>
    <t>Sales Month</t>
  </si>
  <si>
    <t>Row Labels</t>
  </si>
  <si>
    <t>SALES BY CITIES</t>
  </si>
  <si>
    <t>Qty by Product</t>
  </si>
  <si>
    <t>SALES BY MONTHS</t>
  </si>
  <si>
    <t>QTY BY PRODUCT</t>
  </si>
  <si>
    <t>QTY BY MONTHS</t>
  </si>
  <si>
    <t>% SALES BY PRODUCTS</t>
  </si>
  <si>
    <t>% SALES BY SALES REP</t>
  </si>
  <si>
    <t>s</t>
  </si>
  <si>
    <t>Standard</t>
  </si>
  <si>
    <t>High Sales</t>
  </si>
  <si>
    <t>Slow</t>
  </si>
  <si>
    <t>Early</t>
  </si>
  <si>
    <t>Low Sales</t>
  </si>
  <si>
    <t>Details for Sum of TotalPrice - Month Sales: Apr</t>
  </si>
  <si>
    <t xml:space="preserve"> </t>
  </si>
  <si>
    <t>Year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</si>
</sst>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hh:mm:ss"/>
    <numFmt numFmtId="165" formatCode="0;[Red]0"/>
    <numFmt numFmtId="166" formatCode="#,##0;[Red]#,##0"/>
    <numFmt numFmtId="167" formatCode="&quot;$&quot;0.0,&quot;K&quot;"/>
    <numFmt numFmtId="168" formatCode="0.0,&quot;K&quot;"/>
  </numFmts>
  <fonts count="7" x14ac:knownFonts="1">
    <font>
      <sz val="10"/>
      <color rgb="FF000000"/>
      <name val="Arial"/>
      <scheme val="minor"/>
    </font>
    <font>
      <b/>
      <sz val="11"/>
      <color theme="1"/>
      <name val="Calibri"/>
      <family val="2"/>
    </font>
    <font>
      <sz val="11"/>
      <color theme="1"/>
      <name val="Calibri"/>
      <family val="2"/>
    </font>
    <font>
      <sz val="10"/>
      <color rgb="FF000000"/>
      <name val="Arial"/>
      <family val="2"/>
      <scheme val="minor"/>
    </font>
    <font>
      <b/>
      <sz val="10"/>
      <color rgb="FF000000"/>
      <name val="Arial"/>
      <family val="2"/>
      <scheme val="minor"/>
    </font>
    <font>
      <b/>
      <sz val="11"/>
      <color theme="0"/>
      <name val="Arial"/>
      <family val="2"/>
      <scheme val="minor"/>
    </font>
    <font>
      <b/>
      <sz val="12"/>
      <color theme="0"/>
      <name val="Arial"/>
      <family val="2"/>
      <scheme val="minor"/>
    </font>
  </fonts>
  <fills count="6">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FFFF00"/>
        <bgColor indexed="64"/>
      </patternFill>
    </fill>
    <fill>
      <patternFill patternType="solid">
        <fgColor rgb="FFD3CDDC"/>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0" fontId="2" fillId="0" borderId="0" xfId="0" applyFont="1"/>
    <xf numFmtId="164" fontId="2" fillId="0" borderId="0" xfId="0" applyNumberFormat="1" applyFont="1" applyAlignment="1">
      <alignment horizontal="right"/>
    </xf>
    <xf numFmtId="0" fontId="2" fillId="0" borderId="0" xfId="0" applyFont="1" applyAlignment="1">
      <alignment horizontal="right"/>
    </xf>
    <xf numFmtId="0" fontId="3" fillId="0" borderId="0" xfId="0" applyFont="1"/>
    <xf numFmtId="165" fontId="1" fillId="0" borderId="1" xfId="0" applyNumberFormat="1" applyFont="1" applyBorder="1" applyAlignment="1">
      <alignment horizontal="center" vertical="top"/>
    </xf>
    <xf numFmtId="165" fontId="2" fillId="0" borderId="0" xfId="0" applyNumberFormat="1" applyFont="1" applyAlignment="1">
      <alignment horizontal="right"/>
    </xf>
    <xf numFmtId="165" fontId="0" fillId="0" borderId="0" xfId="0" applyNumberFormat="1"/>
    <xf numFmtId="0" fontId="1" fillId="0" borderId="2" xfId="0" applyFont="1" applyBorder="1" applyAlignment="1">
      <alignment horizontal="center" vertical="top"/>
    </xf>
    <xf numFmtId="0" fontId="5" fillId="2" borderId="0" xfId="0" applyFont="1" applyFill="1"/>
    <xf numFmtId="0" fontId="4" fillId="3" borderId="0" xfId="0" applyFont="1" applyFill="1"/>
    <xf numFmtId="0" fontId="4" fillId="3" borderId="0" xfId="0" applyFont="1" applyFill="1" applyAlignment="1">
      <alignment wrapText="1"/>
    </xf>
    <xf numFmtId="0" fontId="3" fillId="0" borderId="4" xfId="0" applyFont="1" applyBorder="1"/>
    <xf numFmtId="0" fontId="4" fillId="3" borderId="5" xfId="0" applyFont="1" applyFill="1" applyBorder="1"/>
    <xf numFmtId="0" fontId="4" fillId="3" borderId="7" xfId="0" applyFont="1" applyFill="1" applyBorder="1"/>
    <xf numFmtId="0" fontId="3" fillId="0" borderId="9" xfId="0" applyFont="1" applyBorder="1"/>
    <xf numFmtId="0" fontId="4" fillId="3" borderId="10" xfId="0" applyFont="1" applyFill="1" applyBorder="1"/>
    <xf numFmtId="0" fontId="0" fillId="0" borderId="9" xfId="0" applyBorder="1"/>
    <xf numFmtId="0" fontId="0" fillId="0" borderId="0" xfId="0" pivotButton="1"/>
    <xf numFmtId="166" fontId="0" fillId="0" borderId="0" xfId="0" applyNumberFormat="1"/>
    <xf numFmtId="0" fontId="3" fillId="4" borderId="0" xfId="0" applyFont="1" applyFill="1"/>
    <xf numFmtId="0" fontId="0" fillId="0" borderId="0" xfId="0" applyAlignment="1">
      <alignment horizontal="left"/>
    </xf>
    <xf numFmtId="10" fontId="0" fillId="0" borderId="0" xfId="0" applyNumberFormat="1"/>
    <xf numFmtId="0" fontId="0" fillId="5" borderId="0" xfId="0" applyFill="1"/>
    <xf numFmtId="167" fontId="0" fillId="0" borderId="0" xfId="0" applyNumberFormat="1"/>
    <xf numFmtId="168" fontId="0" fillId="0" borderId="0" xfId="0" applyNumberFormat="1"/>
    <xf numFmtId="14" fontId="0" fillId="0" borderId="0" xfId="0" applyNumberFormat="1"/>
    <xf numFmtId="0" fontId="4" fillId="0" borderId="0" xfId="0" applyFont="1"/>
    <xf numFmtId="0" fontId="3" fillId="5" borderId="0" xfId="0" applyFont="1" applyFill="1"/>
    <xf numFmtId="0" fontId="6" fillId="2" borderId="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8" xfId="0" applyFont="1" applyFill="1" applyBorder="1" applyAlignment="1">
      <alignment horizontal="center" vertical="center"/>
    </xf>
    <xf numFmtId="0" fontId="3" fillId="4" borderId="0" xfId="0" applyFont="1" applyFill="1" applyAlignment="1">
      <alignment horizontal="center"/>
    </xf>
    <xf numFmtId="0" fontId="0" fillId="0" borderId="0" xfId="0" applyNumberFormat="1"/>
    <xf numFmtId="0" fontId="0" fillId="0" borderId="0" xfId="0" applyAlignment="1">
      <alignment horizontal="center"/>
    </xf>
    <xf numFmtId="0" fontId="3" fillId="0" borderId="11" xfId="0" applyFont="1" applyBorder="1"/>
    <xf numFmtId="0" fontId="3" fillId="0" borderId="4" xfId="0" applyFont="1" applyBorder="1" applyAlignment="1">
      <alignment wrapText="1"/>
    </xf>
  </cellXfs>
  <cellStyles count="1">
    <cellStyle name="Normal" xfId="0" builtinId="0"/>
  </cellStyles>
  <dxfs count="18">
    <dxf>
      <numFmt numFmtId="167" formatCode="&quot;$&quot;0.0,&quot;K&quot;"/>
    </dxf>
    <dxf>
      <numFmt numFmtId="168" formatCode="0.0,&quot;K&quot;"/>
    </dxf>
    <dxf>
      <numFmt numFmtId="167" formatCode="&quot;$&quot;0.0,&quot;K&quot;"/>
    </dxf>
    <dxf>
      <numFmt numFmtId="167" formatCode="&quot;$&quot;0.0,&quot;K&quot;"/>
    </dxf>
    <dxf>
      <numFmt numFmtId="167" formatCode="&quot;$&quot;0.0,&quot;K&quot;"/>
    </dxf>
    <dxf>
      <numFmt numFmtId="168" formatCode="0.0,&quot;K&quot;"/>
    </dxf>
    <dxf>
      <numFmt numFmtId="167" formatCode="&quot;$&quot;0.0,&quot;K&quot;"/>
    </dxf>
    <dxf>
      <numFmt numFmtId="167" formatCode="&quot;$&quot;0.0,&quot;K&quot;"/>
    </dxf>
    <dxf>
      <numFmt numFmtId="167" formatCode="&quot;$&quot;0.0,&quot;K&quot;"/>
    </dxf>
    <dxf>
      <numFmt numFmtId="168" formatCode="0.0,&quot;K&quot;"/>
    </dxf>
    <dxf>
      <numFmt numFmtId="167" formatCode="&quot;$&quot;0.0,&quot;K&quot;"/>
    </dxf>
    <dxf>
      <numFmt numFmtId="167" formatCode="&quot;$&quot;0.0,&quot;K&quot;"/>
    </dxf>
    <dxf>
      <fill>
        <patternFill>
          <bgColor theme="1"/>
        </patternFill>
      </fill>
    </dxf>
    <dxf>
      <numFmt numFmtId="167" formatCode="&quot;$&quot;0.0,&quot;K&quot;"/>
    </dxf>
    <dxf>
      <numFmt numFmtId="167" formatCode="&quot;$&quot;0.0,&quot;K&quot;"/>
    </dxf>
    <dxf>
      <numFmt numFmtId="167" formatCode="&quot;$&quot;0.0,&quot;K&quot;"/>
    </dxf>
    <dxf>
      <numFmt numFmtId="168" formatCode="0.0,&quot;K&quot;"/>
    </dxf>
    <dxf>
      <numFmt numFmtId="19" formatCode="m/d/yyyy"/>
    </dxf>
  </dxfs>
  <tableStyles count="1" defaultTableStyle="TableStyleMedium2" defaultPivotStyle="PivotStyleLight16">
    <tableStyle name="Slicer Style 1" pivot="0" table="0" count="3" xr9:uid="{68E00BAB-92BE-451F-8DF3-B2AF5418FB6B}">
      <tableStyleElement type="wholeTable" dxfId="12"/>
    </tableStyle>
  </tableStyles>
  <colors>
    <mruColors>
      <color rgb="FF7538EB"/>
      <color rgb="FFD3CDDC"/>
      <color rgb="FFB8BAF0"/>
      <color rgb="FFEAE9EE"/>
      <color rgb="FF7438EA"/>
      <color rgb="FFB9BAF0"/>
      <color rgb="FFFFFFFE"/>
    </mruColors>
  </colors>
  <extLst>
    <ext xmlns:x14="http://schemas.microsoft.com/office/spreadsheetml/2009/9/main" uri="{46F421CA-312F-682f-3DD2-61675219B42D}">
      <x14:dxfs count="1">
        <dxf>
          <font>
            <sz val="12"/>
            <color rgb="FF7538EB"/>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(1).xlsx]Tables!PivotTable7</c:name>
    <c:fmtId val="3"/>
  </c:pivotSource>
  <c:chart>
    <c:autoTitleDeleted val="1"/>
    <c:pivotFmts>
      <c:pivotFmt>
        <c:idx val="0"/>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Tables!$D$8</c:f>
              <c:strCache>
                <c:ptCount val="1"/>
                <c:pt idx="0">
                  <c:v>Total</c:v>
                </c:pt>
              </c:strCache>
            </c:strRef>
          </c:tx>
          <c:spPr>
            <a:solidFill>
              <a:srgbClr val="7438EA"/>
            </a:solidFill>
            <a:ln>
              <a:noFill/>
            </a:ln>
            <a:effectLst/>
          </c:spPr>
          <c:invertIfNegative val="0"/>
          <c:cat>
            <c:strRef>
              <c:f>Tables!$C$9:$C$13</c:f>
              <c:strCache>
                <c:ptCount val="5"/>
                <c:pt idx="0">
                  <c:v>Chicago </c:v>
                </c:pt>
                <c:pt idx="1">
                  <c:v>Houston </c:v>
                </c:pt>
                <c:pt idx="2">
                  <c:v>Los Angeles </c:v>
                </c:pt>
                <c:pt idx="3">
                  <c:v>New York </c:v>
                </c:pt>
                <c:pt idx="4">
                  <c:v>Phoenix </c:v>
                </c:pt>
              </c:strCache>
            </c:strRef>
          </c:cat>
          <c:val>
            <c:numRef>
              <c:f>Tables!$D$9:$D$13</c:f>
              <c:numCache>
                <c:formatCode>"$"0.0,"K"</c:formatCode>
                <c:ptCount val="5"/>
                <c:pt idx="0">
                  <c:v>96469.030000000013</c:v>
                </c:pt>
                <c:pt idx="1">
                  <c:v>99674.890000000029</c:v>
                </c:pt>
                <c:pt idx="2">
                  <c:v>97785.499999999985</c:v>
                </c:pt>
                <c:pt idx="3">
                  <c:v>91964.440000000017</c:v>
                </c:pt>
                <c:pt idx="4">
                  <c:v>86859.86</c:v>
                </c:pt>
              </c:numCache>
            </c:numRef>
          </c:val>
          <c:extLst>
            <c:ext xmlns:c16="http://schemas.microsoft.com/office/drawing/2014/chart" uri="{C3380CC4-5D6E-409C-BE32-E72D297353CC}">
              <c16:uniqueId val="{00000000-C83A-4CF3-B701-DDC75A19EB95}"/>
            </c:ext>
          </c:extLst>
        </c:ser>
        <c:dLbls>
          <c:showLegendKey val="0"/>
          <c:showVal val="0"/>
          <c:showCatName val="0"/>
          <c:showSerName val="0"/>
          <c:showPercent val="0"/>
          <c:showBubbleSize val="0"/>
        </c:dLbls>
        <c:gapWidth val="150"/>
        <c:overlap val="100"/>
        <c:axId val="467661704"/>
        <c:axId val="467663144"/>
      </c:barChart>
      <c:catAx>
        <c:axId val="46766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467663144"/>
        <c:crosses val="autoZero"/>
        <c:auto val="1"/>
        <c:lblAlgn val="ctr"/>
        <c:lblOffset val="100"/>
        <c:noMultiLvlLbl val="0"/>
      </c:catAx>
      <c:valAx>
        <c:axId val="467663144"/>
        <c:scaling>
          <c:orientation val="minMax"/>
        </c:scaling>
        <c:delete val="1"/>
        <c:axPos val="l"/>
        <c:numFmt formatCode="&quot;$&quot;0.0,&quot;K&quot;" sourceLinked="1"/>
        <c:majorTickMark val="none"/>
        <c:minorTickMark val="none"/>
        <c:tickLblPos val="nextTo"/>
        <c:crossAx val="467661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(1).xlsx]Tables!PivotTable8</c:name>
    <c:fmtId val="3"/>
  </c:pivotSource>
  <c:chart>
    <c:autoTitleDeleted val="1"/>
    <c:pivotFmts>
      <c:pivotFmt>
        <c:idx val="0"/>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diamond"/>
          <c:size val="5"/>
        </c:marker>
      </c:pivotFmt>
      <c:pivotFmt>
        <c:idx val="3"/>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2700" cap="rnd">
            <a:solidFill>
              <a:schemeClr val="accent1"/>
            </a:solidFill>
            <a:round/>
          </a:ln>
          <a:effectLst/>
        </c:spPr>
        <c:marker>
          <c:symbol val="diamond"/>
          <c:size val="5"/>
          <c:spPr>
            <a:solidFill>
              <a:schemeClr val="accent1"/>
            </a:solidFill>
            <a:ln w="9525">
              <a:solidFill>
                <a:schemeClr val="accent1"/>
              </a:solidFill>
            </a:ln>
            <a:effectLst/>
          </c:spPr>
        </c:marker>
      </c:pivotFmt>
      <c:pivotFmt>
        <c:idx val="12"/>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B9BAF0"/>
            </a:solidFill>
            <a:round/>
          </a:ln>
          <a:effectLst/>
        </c:spPr>
        <c:marker>
          <c:symbol val="diamond"/>
          <c:size val="5"/>
          <c:spPr>
            <a:solidFill>
              <a:schemeClr val="accent1"/>
            </a:solidFill>
            <a:ln w="9525">
              <a:solidFill>
                <a:schemeClr val="accent1"/>
              </a:solidFill>
            </a:ln>
            <a:effectLst/>
          </c:spPr>
        </c:marker>
      </c:pivotFmt>
      <c:pivotFmt>
        <c:idx val="20"/>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7438EA"/>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B9BAF0"/>
            </a:solidFill>
            <a:round/>
          </a:ln>
          <a:effectLst/>
        </c:spPr>
        <c:marker>
          <c:symbol val="none"/>
        </c:marker>
      </c:pivotFmt>
      <c:pivotFmt>
        <c:idx val="25"/>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Tables!$G$8</c:f>
              <c:strCache>
                <c:ptCount val="1"/>
                <c:pt idx="0">
                  <c:v>Total</c:v>
                </c:pt>
              </c:strCache>
            </c:strRef>
          </c:tx>
          <c:spPr>
            <a:ln w="28575" cap="rnd">
              <a:solidFill>
                <a:srgbClr val="7438EA"/>
              </a:solidFill>
              <a:round/>
            </a:ln>
            <a:effectLst/>
          </c:spPr>
          <c:marker>
            <c:symbol val="none"/>
          </c:marker>
          <c:dPt>
            <c:idx val="1"/>
            <c:marker>
              <c:symbol val="none"/>
            </c:marker>
            <c:bubble3D val="0"/>
            <c:spPr>
              <a:ln w="28575" cap="rnd">
                <a:solidFill>
                  <a:srgbClr val="7438EA"/>
                </a:solidFill>
                <a:round/>
              </a:ln>
              <a:effectLst/>
            </c:spPr>
            <c:extLst>
              <c:ext xmlns:c16="http://schemas.microsoft.com/office/drawing/2014/chart" uri="{C3380CC4-5D6E-409C-BE32-E72D297353CC}">
                <c16:uniqueId val="{00000003-69D5-4D34-A8DF-9F36C4977835}"/>
              </c:ext>
            </c:extLst>
          </c:dPt>
          <c:dPt>
            <c:idx val="2"/>
            <c:marker>
              <c:symbol val="none"/>
            </c:marker>
            <c:bubble3D val="0"/>
            <c:spPr>
              <a:ln w="28575" cap="rnd">
                <a:solidFill>
                  <a:srgbClr val="7438EA"/>
                </a:solidFill>
                <a:round/>
              </a:ln>
              <a:effectLst/>
            </c:spPr>
            <c:extLst>
              <c:ext xmlns:c16="http://schemas.microsoft.com/office/drawing/2014/chart" uri="{C3380CC4-5D6E-409C-BE32-E72D297353CC}">
                <c16:uniqueId val="{00000004-69D5-4D34-A8DF-9F36C4977835}"/>
              </c:ext>
            </c:extLst>
          </c:dPt>
          <c:dPt>
            <c:idx val="3"/>
            <c:marker>
              <c:symbol val="diamond"/>
              <c:size val="5"/>
              <c:spPr>
                <a:solidFill>
                  <a:schemeClr val="accent1"/>
                </a:solidFill>
                <a:ln w="9525">
                  <a:solidFill>
                    <a:schemeClr val="accent1"/>
                  </a:solidFill>
                </a:ln>
                <a:effectLst/>
              </c:spPr>
            </c:marker>
            <c:bubble3D val="0"/>
            <c:spPr>
              <a:ln w="28575" cap="rnd">
                <a:solidFill>
                  <a:srgbClr val="B9BAF0"/>
                </a:solidFill>
                <a:round/>
              </a:ln>
              <a:effectLst/>
            </c:spPr>
            <c:extLst>
              <c:ext xmlns:c16="http://schemas.microsoft.com/office/drawing/2014/chart" uri="{C3380CC4-5D6E-409C-BE32-E72D297353CC}">
                <c16:uniqueId val="{00000000-69D5-4D34-A8DF-9F36C4977835}"/>
              </c:ext>
            </c:extLst>
          </c:dPt>
          <c:dPt>
            <c:idx val="4"/>
            <c:marker>
              <c:symbol val="none"/>
            </c:marker>
            <c:bubble3D val="0"/>
            <c:spPr>
              <a:ln w="28575" cap="rnd">
                <a:solidFill>
                  <a:srgbClr val="7438EA"/>
                </a:solidFill>
                <a:round/>
              </a:ln>
              <a:effectLst/>
            </c:spPr>
            <c:extLst>
              <c:ext xmlns:c16="http://schemas.microsoft.com/office/drawing/2014/chart" uri="{C3380CC4-5D6E-409C-BE32-E72D297353CC}">
                <c16:uniqueId val="{00000005-69D5-4D34-A8DF-9F36C4977835}"/>
              </c:ext>
            </c:extLst>
          </c:dPt>
          <c:dPt>
            <c:idx val="5"/>
            <c:marker>
              <c:symbol val="none"/>
            </c:marker>
            <c:bubble3D val="0"/>
            <c:spPr>
              <a:ln w="28575" cap="rnd">
                <a:solidFill>
                  <a:srgbClr val="7438EA"/>
                </a:solidFill>
                <a:round/>
              </a:ln>
              <a:effectLst/>
            </c:spPr>
            <c:extLst>
              <c:ext xmlns:c16="http://schemas.microsoft.com/office/drawing/2014/chart" uri="{C3380CC4-5D6E-409C-BE32-E72D297353CC}">
                <c16:uniqueId val="{0000000B-69D5-4D34-A8DF-9F36C4977835}"/>
              </c:ext>
            </c:extLst>
          </c:dPt>
          <c:dPt>
            <c:idx val="6"/>
            <c:marker>
              <c:symbol val="none"/>
            </c:marker>
            <c:bubble3D val="0"/>
            <c:spPr>
              <a:ln w="28575" cap="rnd">
                <a:solidFill>
                  <a:srgbClr val="7438EA"/>
                </a:solidFill>
                <a:round/>
              </a:ln>
              <a:effectLst/>
            </c:spPr>
            <c:extLst>
              <c:ext xmlns:c16="http://schemas.microsoft.com/office/drawing/2014/chart" uri="{C3380CC4-5D6E-409C-BE32-E72D297353CC}">
                <c16:uniqueId val="{00000006-69D5-4D34-A8DF-9F36C4977835}"/>
              </c:ext>
            </c:extLst>
          </c:dPt>
          <c:dPt>
            <c:idx val="7"/>
            <c:marker>
              <c:symbol val="none"/>
            </c:marker>
            <c:bubble3D val="0"/>
            <c:spPr>
              <a:ln w="28575" cap="rnd">
                <a:solidFill>
                  <a:srgbClr val="7438EA"/>
                </a:solidFill>
                <a:round/>
              </a:ln>
              <a:effectLst/>
            </c:spPr>
            <c:extLst>
              <c:ext xmlns:c16="http://schemas.microsoft.com/office/drawing/2014/chart" uri="{C3380CC4-5D6E-409C-BE32-E72D297353CC}">
                <c16:uniqueId val="{0000000C-69D5-4D34-A8DF-9F36C4977835}"/>
              </c:ext>
            </c:extLst>
          </c:dPt>
          <c:dPt>
            <c:idx val="8"/>
            <c:marker>
              <c:symbol val="none"/>
            </c:marker>
            <c:bubble3D val="0"/>
            <c:spPr>
              <a:ln w="28575" cap="rnd">
                <a:solidFill>
                  <a:srgbClr val="7438EA"/>
                </a:solidFill>
                <a:round/>
              </a:ln>
              <a:effectLst/>
            </c:spPr>
            <c:extLst>
              <c:ext xmlns:c16="http://schemas.microsoft.com/office/drawing/2014/chart" uri="{C3380CC4-5D6E-409C-BE32-E72D297353CC}">
                <c16:uniqueId val="{0000000D-69D5-4D34-A8DF-9F36C4977835}"/>
              </c:ext>
            </c:extLst>
          </c:dPt>
          <c:dPt>
            <c:idx val="9"/>
            <c:marker>
              <c:symbol val="none"/>
            </c:marker>
            <c:bubble3D val="0"/>
            <c:spPr>
              <a:ln w="28575" cap="rnd">
                <a:solidFill>
                  <a:srgbClr val="7438EA"/>
                </a:solidFill>
                <a:round/>
              </a:ln>
              <a:effectLst/>
            </c:spPr>
            <c:extLst>
              <c:ext xmlns:c16="http://schemas.microsoft.com/office/drawing/2014/chart" uri="{C3380CC4-5D6E-409C-BE32-E72D297353CC}">
                <c16:uniqueId val="{00000007-69D5-4D34-A8DF-9F36C4977835}"/>
              </c:ext>
            </c:extLst>
          </c:dPt>
          <c:dPt>
            <c:idx val="10"/>
            <c:marker>
              <c:symbol val="none"/>
            </c:marker>
            <c:bubble3D val="0"/>
            <c:spPr>
              <a:ln w="28575" cap="rnd">
                <a:solidFill>
                  <a:srgbClr val="B9BAF0"/>
                </a:solidFill>
                <a:round/>
              </a:ln>
              <a:effectLst/>
            </c:spPr>
            <c:extLst>
              <c:ext xmlns:c16="http://schemas.microsoft.com/office/drawing/2014/chart" uri="{C3380CC4-5D6E-409C-BE32-E72D297353CC}">
                <c16:uniqueId val="{0000000A-69D5-4D34-A8DF-9F36C4977835}"/>
              </c:ext>
            </c:extLst>
          </c:dPt>
          <c:dPt>
            <c:idx val="11"/>
            <c:marker>
              <c:symbol val="none"/>
            </c:marker>
            <c:bubble3D val="0"/>
            <c:spPr>
              <a:ln w="28575" cap="rnd">
                <a:solidFill>
                  <a:srgbClr val="7438EA"/>
                </a:solidFill>
                <a:round/>
                <a:headEnd type="oval"/>
              </a:ln>
              <a:effectLst/>
            </c:spPr>
            <c:extLst>
              <c:ext xmlns:c16="http://schemas.microsoft.com/office/drawing/2014/chart" uri="{C3380CC4-5D6E-409C-BE32-E72D297353CC}">
                <c16:uniqueId val="{00000002-69D5-4D34-A8DF-9F36C4977835}"/>
              </c:ext>
            </c:extLst>
          </c:dPt>
          <c:dLbls>
            <c:dLbl>
              <c:idx val="1"/>
              <c:delete val="1"/>
              <c:extLst>
                <c:ext xmlns:c15="http://schemas.microsoft.com/office/drawing/2012/chart" uri="{CE6537A1-D6FC-4f65-9D91-7224C49458BB}"/>
                <c:ext xmlns:c16="http://schemas.microsoft.com/office/drawing/2014/chart" uri="{C3380CC4-5D6E-409C-BE32-E72D297353CC}">
                  <c16:uniqueId val="{00000003-69D5-4D34-A8DF-9F36C4977835}"/>
                </c:ext>
              </c:extLst>
            </c:dLbl>
            <c:dLbl>
              <c:idx val="2"/>
              <c:delete val="1"/>
              <c:extLst>
                <c:ext xmlns:c15="http://schemas.microsoft.com/office/drawing/2012/chart" uri="{CE6537A1-D6FC-4f65-9D91-7224C49458BB}"/>
                <c:ext xmlns:c16="http://schemas.microsoft.com/office/drawing/2014/chart" uri="{C3380CC4-5D6E-409C-BE32-E72D297353CC}">
                  <c16:uniqueId val="{00000004-69D5-4D34-A8DF-9F36C4977835}"/>
                </c:ext>
              </c:extLst>
            </c:dLbl>
            <c:dLbl>
              <c:idx val="4"/>
              <c:delete val="1"/>
              <c:extLst>
                <c:ext xmlns:c15="http://schemas.microsoft.com/office/drawing/2012/chart" uri="{CE6537A1-D6FC-4f65-9D91-7224C49458BB}"/>
                <c:ext xmlns:c16="http://schemas.microsoft.com/office/drawing/2014/chart" uri="{C3380CC4-5D6E-409C-BE32-E72D297353CC}">
                  <c16:uniqueId val="{00000005-69D5-4D34-A8DF-9F36C4977835}"/>
                </c:ext>
              </c:extLst>
            </c:dLbl>
            <c:dLbl>
              <c:idx val="5"/>
              <c:delete val="1"/>
              <c:extLst>
                <c:ext xmlns:c15="http://schemas.microsoft.com/office/drawing/2012/chart" uri="{CE6537A1-D6FC-4f65-9D91-7224C49458BB}"/>
                <c:ext xmlns:c16="http://schemas.microsoft.com/office/drawing/2014/chart" uri="{C3380CC4-5D6E-409C-BE32-E72D297353CC}">
                  <c16:uniqueId val="{0000000B-69D5-4D34-A8DF-9F36C4977835}"/>
                </c:ext>
              </c:extLst>
            </c:dLbl>
            <c:dLbl>
              <c:idx val="6"/>
              <c:delete val="1"/>
              <c:extLst>
                <c:ext xmlns:c15="http://schemas.microsoft.com/office/drawing/2012/chart" uri="{CE6537A1-D6FC-4f65-9D91-7224C49458BB}"/>
                <c:ext xmlns:c16="http://schemas.microsoft.com/office/drawing/2014/chart" uri="{C3380CC4-5D6E-409C-BE32-E72D297353CC}">
                  <c16:uniqueId val="{00000006-69D5-4D34-A8DF-9F36C4977835}"/>
                </c:ext>
              </c:extLst>
            </c:dLbl>
            <c:dLbl>
              <c:idx val="7"/>
              <c:delete val="1"/>
              <c:extLst>
                <c:ext xmlns:c15="http://schemas.microsoft.com/office/drawing/2012/chart" uri="{CE6537A1-D6FC-4f65-9D91-7224C49458BB}"/>
                <c:ext xmlns:c16="http://schemas.microsoft.com/office/drawing/2014/chart" uri="{C3380CC4-5D6E-409C-BE32-E72D297353CC}">
                  <c16:uniqueId val="{0000000C-69D5-4D34-A8DF-9F36C4977835}"/>
                </c:ext>
              </c:extLst>
            </c:dLbl>
            <c:dLbl>
              <c:idx val="8"/>
              <c:delete val="1"/>
              <c:extLst>
                <c:ext xmlns:c15="http://schemas.microsoft.com/office/drawing/2012/chart" uri="{CE6537A1-D6FC-4f65-9D91-7224C49458BB}"/>
                <c:ext xmlns:c16="http://schemas.microsoft.com/office/drawing/2014/chart" uri="{C3380CC4-5D6E-409C-BE32-E72D297353CC}">
                  <c16:uniqueId val="{0000000D-69D5-4D34-A8DF-9F36C4977835}"/>
                </c:ext>
              </c:extLst>
            </c:dLbl>
            <c:dLbl>
              <c:idx val="9"/>
              <c:delete val="1"/>
              <c:extLst>
                <c:ext xmlns:c15="http://schemas.microsoft.com/office/drawing/2012/chart" uri="{CE6537A1-D6FC-4f65-9D91-7224C49458BB}"/>
                <c:ext xmlns:c16="http://schemas.microsoft.com/office/drawing/2014/chart" uri="{C3380CC4-5D6E-409C-BE32-E72D297353CC}">
                  <c16:uniqueId val="{00000007-69D5-4D34-A8DF-9F36C4977835}"/>
                </c:ext>
              </c:extLst>
            </c:dLbl>
            <c:dLbl>
              <c:idx val="11"/>
              <c:layout>
                <c:manualLayout>
                  <c:x val="-4.5592519685039475E-2"/>
                  <c:y val="3.9594998541848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D5-4D34-A8DF-9F36C497783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Tables!$F$9:$F$20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Tables!$G$9:$G$20</c:f>
              <c:numCache>
                <c:formatCode>"$"0.0,"K"</c:formatCode>
                <c:ptCount val="12"/>
                <c:pt idx="0">
                  <c:v>44901.229999999996</c:v>
                </c:pt>
                <c:pt idx="1">
                  <c:v>40006.410000000011</c:v>
                </c:pt>
                <c:pt idx="2">
                  <c:v>34024.689999999995</c:v>
                </c:pt>
                <c:pt idx="3">
                  <c:v>22205.719999999994</c:v>
                </c:pt>
                <c:pt idx="4">
                  <c:v>35976.130000000005</c:v>
                </c:pt>
                <c:pt idx="5">
                  <c:v>46003.37999999999</c:v>
                </c:pt>
                <c:pt idx="6">
                  <c:v>42860.610000000022</c:v>
                </c:pt>
                <c:pt idx="7">
                  <c:v>43024.690000000017</c:v>
                </c:pt>
                <c:pt idx="8">
                  <c:v>36050.97</c:v>
                </c:pt>
                <c:pt idx="9">
                  <c:v>44946.789999999994</c:v>
                </c:pt>
                <c:pt idx="10">
                  <c:v>47395.839999999997</c:v>
                </c:pt>
                <c:pt idx="11">
                  <c:v>35357.259999999995</c:v>
                </c:pt>
              </c:numCache>
            </c:numRef>
          </c:val>
          <c:smooth val="1"/>
          <c:extLst>
            <c:ext xmlns:c16="http://schemas.microsoft.com/office/drawing/2014/chart" uri="{C3380CC4-5D6E-409C-BE32-E72D297353CC}">
              <c16:uniqueId val="{00000008-69D5-4D34-A8DF-9F36C4977835}"/>
            </c:ext>
          </c:extLst>
        </c:ser>
        <c:dLbls>
          <c:showLegendKey val="0"/>
          <c:showVal val="0"/>
          <c:showCatName val="0"/>
          <c:showSerName val="0"/>
          <c:showPercent val="0"/>
          <c:showBubbleSize val="0"/>
        </c:dLbls>
        <c:smooth val="0"/>
        <c:axId val="337029008"/>
        <c:axId val="337025768"/>
      </c:lineChart>
      <c:catAx>
        <c:axId val="3370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337025768"/>
        <c:crosses val="autoZero"/>
        <c:auto val="1"/>
        <c:lblAlgn val="ctr"/>
        <c:lblOffset val="100"/>
        <c:noMultiLvlLbl val="0"/>
      </c:catAx>
      <c:valAx>
        <c:axId val="337025768"/>
        <c:scaling>
          <c:orientation val="minMax"/>
        </c:scaling>
        <c:delete val="1"/>
        <c:axPos val="l"/>
        <c:numFmt formatCode="&quot;$&quot;0.0,&quot;K&quot;" sourceLinked="1"/>
        <c:majorTickMark val="none"/>
        <c:minorTickMark val="none"/>
        <c:tickLblPos val="nextTo"/>
        <c:crossAx val="33702900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(1).xlsx]Tables!PivotTable9</c:name>
    <c:fmtId val="3"/>
  </c:pivotSource>
  <c:chart>
    <c:autoTitleDeleted val="1"/>
    <c:pivotFmts>
      <c:pivotFmt>
        <c:idx val="0"/>
        <c:spPr>
          <a:solidFill>
            <a:srgbClr val="B8BAF0"/>
          </a:solidFill>
          <a:ln>
            <a:noFill/>
          </a:ln>
          <a:effectLst/>
        </c:spPr>
        <c:marker>
          <c:symbol val="none"/>
        </c:marker>
      </c:pivotFmt>
      <c:pivotFmt>
        <c:idx val="1"/>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8BAF0"/>
          </a:solidFill>
          <a:ln>
            <a:noFill/>
          </a:ln>
          <a:effectLst/>
        </c:spPr>
      </c:pivotFmt>
      <c:pivotFmt>
        <c:idx val="10"/>
        <c:spPr>
          <a:solidFill>
            <a:srgbClr val="B8BAF0"/>
          </a:solidFill>
          <a:ln>
            <a:noFill/>
          </a:ln>
          <a:effectLst/>
        </c:spPr>
      </c:pivotFmt>
      <c:pivotFmt>
        <c:idx val="11"/>
        <c:spPr>
          <a:solidFill>
            <a:srgbClr val="B8BAF0"/>
          </a:solidFill>
          <a:ln>
            <a:noFill/>
          </a:ln>
          <a:effectLst/>
        </c:spPr>
      </c:pivotFmt>
    </c:pivotFmts>
    <c:plotArea>
      <c:layout/>
      <c:barChart>
        <c:barDir val="bar"/>
        <c:grouping val="stacked"/>
        <c:varyColors val="0"/>
        <c:ser>
          <c:idx val="0"/>
          <c:order val="0"/>
          <c:tx>
            <c:strRef>
              <c:f>Tables!$K$8</c:f>
              <c:strCache>
                <c:ptCount val="1"/>
                <c:pt idx="0">
                  <c:v>Total</c:v>
                </c:pt>
              </c:strCache>
            </c:strRef>
          </c:tx>
          <c:spPr>
            <a:solidFill>
              <a:srgbClr val="B8BAF0"/>
            </a:solidFill>
            <a:ln>
              <a:noFill/>
            </a:ln>
            <a:effectLst/>
          </c:spPr>
          <c:invertIfNegative val="0"/>
          <c:cat>
            <c:strRef>
              <c:f>Tables!$J$9:$J$13</c:f>
              <c:strCache>
                <c:ptCount val="5"/>
                <c:pt idx="0">
                  <c:v>Headphones</c:v>
                </c:pt>
                <c:pt idx="1">
                  <c:v>Laptop</c:v>
                </c:pt>
                <c:pt idx="2">
                  <c:v>Monitor</c:v>
                </c:pt>
                <c:pt idx="3">
                  <c:v>Phone</c:v>
                </c:pt>
                <c:pt idx="4">
                  <c:v>Tablet</c:v>
                </c:pt>
              </c:strCache>
            </c:strRef>
          </c:cat>
          <c:val>
            <c:numRef>
              <c:f>Tables!$K$9:$K$13</c:f>
              <c:numCache>
                <c:formatCode>General</c:formatCode>
                <c:ptCount val="5"/>
                <c:pt idx="0">
                  <c:v>306</c:v>
                </c:pt>
                <c:pt idx="1">
                  <c:v>409</c:v>
                </c:pt>
                <c:pt idx="2">
                  <c:v>298</c:v>
                </c:pt>
                <c:pt idx="3">
                  <c:v>411</c:v>
                </c:pt>
                <c:pt idx="4">
                  <c:v>308</c:v>
                </c:pt>
              </c:numCache>
            </c:numRef>
          </c:val>
          <c:extLst>
            <c:ext xmlns:c16="http://schemas.microsoft.com/office/drawing/2014/chart" uri="{C3380CC4-5D6E-409C-BE32-E72D297353CC}">
              <c16:uniqueId val="{00000003-FA00-4355-8862-F44D2C0BFE5E}"/>
            </c:ext>
          </c:extLst>
        </c:ser>
        <c:dLbls>
          <c:dLblPos val="inEnd"/>
          <c:showLegendKey val="0"/>
          <c:showVal val="0"/>
          <c:showCatName val="0"/>
          <c:showSerName val="0"/>
          <c:showPercent val="0"/>
          <c:showBubbleSize val="0"/>
        </c:dLbls>
        <c:gapWidth val="150"/>
        <c:overlap val="100"/>
        <c:axId val="467864368"/>
        <c:axId val="467859688"/>
      </c:barChart>
      <c:catAx>
        <c:axId val="46786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467859688"/>
        <c:crosses val="autoZero"/>
        <c:auto val="1"/>
        <c:lblAlgn val="ctr"/>
        <c:lblOffset val="100"/>
        <c:noMultiLvlLbl val="0"/>
      </c:catAx>
      <c:valAx>
        <c:axId val="467859688"/>
        <c:scaling>
          <c:orientation val="minMax"/>
        </c:scaling>
        <c:delete val="1"/>
        <c:axPos val="b"/>
        <c:numFmt formatCode="General" sourceLinked="1"/>
        <c:majorTickMark val="none"/>
        <c:minorTickMark val="none"/>
        <c:tickLblPos val="nextTo"/>
        <c:crossAx val="46786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B8BA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2124854324227"/>
          <c:y val="7.4666603954558361E-2"/>
          <c:w val="0.79798358402729119"/>
          <c:h val="0.61600032251941417"/>
        </c:manualLayout>
      </c:layout>
      <c:lineChart>
        <c:grouping val="standard"/>
        <c:varyColors val="0"/>
        <c:ser>
          <c:idx val="0"/>
          <c:order val="0"/>
          <c:tx>
            <c:strRef>
              <c:f>Tables!$D$20</c:f>
              <c:strCache>
                <c:ptCount val="1"/>
                <c:pt idx="0">
                  <c:v>Total</c:v>
                </c:pt>
              </c:strCache>
            </c:strRef>
          </c:tx>
          <c:spPr>
            <a:ln w="28575" cap="rnd">
              <a:solidFill>
                <a:srgbClr val="B8BAF0"/>
              </a:solidFill>
              <a:round/>
            </a:ln>
            <a:effectLst/>
          </c:spPr>
          <c:marker>
            <c:symbol val="none"/>
          </c:marker>
          <c:cat>
            <c:strRef>
              <c:f>Tables!$C$21:$C$32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Tables!$D$21:$D$32</c:f>
              <c:numCache>
                <c:formatCode>General</c:formatCode>
                <c:ptCount val="12"/>
                <c:pt idx="0">
                  <c:v>166</c:v>
                </c:pt>
                <c:pt idx="1">
                  <c:v>138</c:v>
                </c:pt>
                <c:pt idx="2">
                  <c:v>125</c:v>
                </c:pt>
                <c:pt idx="3">
                  <c:v>82</c:v>
                </c:pt>
                <c:pt idx="4">
                  <c:v>137</c:v>
                </c:pt>
                <c:pt idx="5">
                  <c:v>177</c:v>
                </c:pt>
                <c:pt idx="6">
                  <c:v>177</c:v>
                </c:pt>
                <c:pt idx="7">
                  <c:v>141</c:v>
                </c:pt>
                <c:pt idx="8">
                  <c:v>136</c:v>
                </c:pt>
                <c:pt idx="9">
                  <c:v>166</c:v>
                </c:pt>
                <c:pt idx="10">
                  <c:v>159</c:v>
                </c:pt>
                <c:pt idx="11">
                  <c:v>128</c:v>
                </c:pt>
              </c:numCache>
            </c:numRef>
          </c:val>
          <c:smooth val="1"/>
          <c:extLst>
            <c:ext xmlns:c16="http://schemas.microsoft.com/office/drawing/2014/chart" uri="{C3380CC4-5D6E-409C-BE32-E72D297353CC}">
              <c16:uniqueId val="{00000000-F11B-4537-A1D7-36F1037DEBD8}"/>
            </c:ext>
          </c:extLst>
        </c:ser>
        <c:dLbls>
          <c:showLegendKey val="0"/>
          <c:showVal val="0"/>
          <c:showCatName val="0"/>
          <c:showSerName val="0"/>
          <c:showPercent val="0"/>
          <c:showBubbleSize val="0"/>
        </c:dLbls>
        <c:smooth val="0"/>
        <c:axId val="342443176"/>
        <c:axId val="342443536"/>
      </c:lineChart>
      <c:catAx>
        <c:axId val="342443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342443536"/>
        <c:crosses val="autoZero"/>
        <c:auto val="1"/>
        <c:lblAlgn val="ctr"/>
        <c:lblOffset val="100"/>
        <c:noMultiLvlLbl val="0"/>
      </c:catAx>
      <c:valAx>
        <c:axId val="342443536"/>
        <c:scaling>
          <c:orientation val="minMax"/>
        </c:scaling>
        <c:delete val="1"/>
        <c:axPos val="l"/>
        <c:numFmt formatCode="General" sourceLinked="1"/>
        <c:majorTickMark val="none"/>
        <c:minorTickMark val="none"/>
        <c:tickLblPos val="nextTo"/>
        <c:crossAx val="3424431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(1).xlsx]Tables!PivotTable11</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438EA"/>
          </a:solidFill>
          <a:ln w="19050">
            <a:noFill/>
          </a:ln>
          <a:effectLst/>
        </c:spPr>
      </c:pivotFmt>
      <c:pivotFmt>
        <c:idx val="2"/>
        <c:spPr>
          <a:solidFill>
            <a:srgbClr val="7438EA">
              <a:alpha val="59000"/>
            </a:srgbClr>
          </a:solidFill>
          <a:ln w="19050">
            <a:noFill/>
          </a:ln>
          <a:effectLst/>
        </c:spPr>
      </c:pivotFmt>
      <c:pivotFmt>
        <c:idx val="3"/>
        <c:spPr>
          <a:solidFill>
            <a:srgbClr val="7438EA">
              <a:alpha val="23000"/>
            </a:srgbClr>
          </a:solidFill>
          <a:ln w="19050">
            <a:noFill/>
          </a:ln>
          <a:effectLst/>
        </c:spPr>
      </c:pivotFmt>
      <c:pivotFmt>
        <c:idx val="4"/>
        <c:spPr>
          <a:solidFill>
            <a:srgbClr val="B8BAF0"/>
          </a:solidFill>
          <a:ln w="19050">
            <a:noFill/>
          </a:ln>
          <a:effectLst/>
        </c:spPr>
      </c:pivotFmt>
      <c:pivotFmt>
        <c:idx val="5"/>
        <c:spPr>
          <a:solidFill>
            <a:srgbClr val="EAE9EE"/>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438EA">
              <a:alpha val="59000"/>
            </a:srgbClr>
          </a:solidFill>
          <a:ln w="19050">
            <a:noFill/>
          </a:ln>
          <a:effectLst/>
        </c:spPr>
      </c:pivotFmt>
      <c:pivotFmt>
        <c:idx val="8"/>
        <c:spPr>
          <a:solidFill>
            <a:srgbClr val="7438EA">
              <a:alpha val="23000"/>
            </a:srgbClr>
          </a:solidFill>
          <a:ln w="19050">
            <a:noFill/>
          </a:ln>
          <a:effectLst/>
        </c:spPr>
      </c:pivotFmt>
      <c:pivotFmt>
        <c:idx val="9"/>
        <c:spPr>
          <a:solidFill>
            <a:srgbClr val="B8BAF0"/>
          </a:solidFill>
          <a:ln w="19050">
            <a:noFill/>
          </a:ln>
          <a:effectLst/>
        </c:spPr>
      </c:pivotFmt>
      <c:pivotFmt>
        <c:idx val="10"/>
        <c:spPr>
          <a:solidFill>
            <a:srgbClr val="EAE9EE"/>
          </a:solidFill>
          <a:ln w="19050">
            <a:noFill/>
          </a:ln>
          <a:effectLst/>
        </c:spPr>
      </c:pivotFmt>
      <c:pivotFmt>
        <c:idx val="11"/>
        <c:spPr>
          <a:solidFill>
            <a:srgbClr val="7438EA"/>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438EA">
              <a:alpha val="59000"/>
            </a:srgbClr>
          </a:solidFill>
          <a:ln w="19050">
            <a:noFill/>
          </a:ln>
          <a:effectLst/>
        </c:spPr>
      </c:pivotFmt>
      <c:pivotFmt>
        <c:idx val="14"/>
        <c:spPr>
          <a:solidFill>
            <a:srgbClr val="7438EA">
              <a:alpha val="23000"/>
            </a:srgbClr>
          </a:solidFill>
          <a:ln w="19050">
            <a:noFill/>
          </a:ln>
          <a:effectLst/>
        </c:spPr>
      </c:pivotFmt>
      <c:pivotFmt>
        <c:idx val="15"/>
        <c:spPr>
          <a:solidFill>
            <a:srgbClr val="B8BAF0"/>
          </a:solidFill>
          <a:ln w="19050">
            <a:noFill/>
          </a:ln>
          <a:effectLst/>
        </c:spPr>
      </c:pivotFmt>
      <c:pivotFmt>
        <c:idx val="16"/>
        <c:spPr>
          <a:solidFill>
            <a:srgbClr val="EAE9EE"/>
          </a:solidFill>
          <a:ln w="19050">
            <a:noFill/>
          </a:ln>
          <a:effectLst/>
        </c:spPr>
      </c:pivotFmt>
      <c:pivotFmt>
        <c:idx val="17"/>
        <c:spPr>
          <a:solidFill>
            <a:srgbClr val="7438EA"/>
          </a:solidFill>
          <a:ln w="19050">
            <a:noFill/>
          </a:ln>
          <a:effectLst/>
        </c:spPr>
      </c:pivotFmt>
    </c:pivotFmts>
    <c:plotArea>
      <c:layout/>
      <c:doughnutChart>
        <c:varyColors val="1"/>
        <c:ser>
          <c:idx val="0"/>
          <c:order val="0"/>
          <c:tx>
            <c:strRef>
              <c:f>Tables!$G$23</c:f>
              <c:strCache>
                <c:ptCount val="1"/>
                <c:pt idx="0">
                  <c:v>Total</c:v>
                </c:pt>
              </c:strCache>
            </c:strRef>
          </c:tx>
          <c:spPr>
            <a:ln>
              <a:noFill/>
            </a:ln>
          </c:spPr>
          <c:dPt>
            <c:idx val="0"/>
            <c:bubble3D val="0"/>
            <c:spPr>
              <a:solidFill>
                <a:srgbClr val="7438EA">
                  <a:alpha val="59000"/>
                </a:srgbClr>
              </a:solidFill>
              <a:ln w="19050">
                <a:noFill/>
              </a:ln>
              <a:effectLst/>
            </c:spPr>
            <c:extLst>
              <c:ext xmlns:c16="http://schemas.microsoft.com/office/drawing/2014/chart" uri="{C3380CC4-5D6E-409C-BE32-E72D297353CC}">
                <c16:uniqueId val="{00000001-6EB8-43A7-BB6B-796605B0FA87}"/>
              </c:ext>
            </c:extLst>
          </c:dPt>
          <c:dPt>
            <c:idx val="1"/>
            <c:bubble3D val="0"/>
            <c:spPr>
              <a:solidFill>
                <a:srgbClr val="7438EA">
                  <a:alpha val="23000"/>
                </a:srgbClr>
              </a:solidFill>
              <a:ln w="19050">
                <a:noFill/>
              </a:ln>
              <a:effectLst/>
            </c:spPr>
            <c:extLst>
              <c:ext xmlns:c16="http://schemas.microsoft.com/office/drawing/2014/chart" uri="{C3380CC4-5D6E-409C-BE32-E72D297353CC}">
                <c16:uniqueId val="{00000003-6EB8-43A7-BB6B-796605B0FA87}"/>
              </c:ext>
            </c:extLst>
          </c:dPt>
          <c:dPt>
            <c:idx val="2"/>
            <c:bubble3D val="0"/>
            <c:spPr>
              <a:solidFill>
                <a:srgbClr val="B8BAF0"/>
              </a:solidFill>
              <a:ln w="19050">
                <a:noFill/>
              </a:ln>
              <a:effectLst/>
            </c:spPr>
            <c:extLst>
              <c:ext xmlns:c16="http://schemas.microsoft.com/office/drawing/2014/chart" uri="{C3380CC4-5D6E-409C-BE32-E72D297353CC}">
                <c16:uniqueId val="{00000005-6EB8-43A7-BB6B-796605B0FA87}"/>
              </c:ext>
            </c:extLst>
          </c:dPt>
          <c:dPt>
            <c:idx val="3"/>
            <c:bubble3D val="0"/>
            <c:spPr>
              <a:solidFill>
                <a:srgbClr val="EAE9EE"/>
              </a:solidFill>
              <a:ln w="19050">
                <a:noFill/>
              </a:ln>
              <a:effectLst/>
            </c:spPr>
            <c:extLst>
              <c:ext xmlns:c16="http://schemas.microsoft.com/office/drawing/2014/chart" uri="{C3380CC4-5D6E-409C-BE32-E72D297353CC}">
                <c16:uniqueId val="{00000007-6EB8-43A7-BB6B-796605B0FA87}"/>
              </c:ext>
            </c:extLst>
          </c:dPt>
          <c:dPt>
            <c:idx val="4"/>
            <c:bubble3D val="0"/>
            <c:spPr>
              <a:solidFill>
                <a:srgbClr val="7438EA"/>
              </a:solidFill>
              <a:ln w="19050">
                <a:noFill/>
              </a:ln>
              <a:effectLst/>
            </c:spPr>
            <c:extLst>
              <c:ext xmlns:c16="http://schemas.microsoft.com/office/drawing/2014/chart" uri="{C3380CC4-5D6E-409C-BE32-E72D297353CC}">
                <c16:uniqueId val="{00000009-6EB8-43A7-BB6B-796605B0FA87}"/>
              </c:ext>
            </c:extLst>
          </c:dPt>
          <c:cat>
            <c:strRef>
              <c:f>Tables!$F$24:$F$28</c:f>
              <c:strCache>
                <c:ptCount val="5"/>
                <c:pt idx="0">
                  <c:v>Headphones</c:v>
                </c:pt>
                <c:pt idx="1">
                  <c:v>Laptop</c:v>
                </c:pt>
                <c:pt idx="2">
                  <c:v>Monitor</c:v>
                </c:pt>
                <c:pt idx="3">
                  <c:v>Phone</c:v>
                </c:pt>
                <c:pt idx="4">
                  <c:v>Tablet</c:v>
                </c:pt>
              </c:strCache>
            </c:strRef>
          </c:cat>
          <c:val>
            <c:numRef>
              <c:f>Tables!$G$24:$G$28</c:f>
              <c:numCache>
                <c:formatCode>0.00%</c:formatCode>
                <c:ptCount val="5"/>
                <c:pt idx="0">
                  <c:v>0.18432377433222522</c:v>
                </c:pt>
                <c:pt idx="1">
                  <c:v>0.23074528107362116</c:v>
                </c:pt>
                <c:pt idx="2">
                  <c:v>0.1602685855121351</c:v>
                </c:pt>
                <c:pt idx="3">
                  <c:v>0.23496094330045672</c:v>
                </c:pt>
                <c:pt idx="4">
                  <c:v>0.18970141578156169</c:v>
                </c:pt>
              </c:numCache>
            </c:numRef>
          </c:val>
          <c:extLst>
            <c:ext xmlns:c16="http://schemas.microsoft.com/office/drawing/2014/chart" uri="{C3380CC4-5D6E-409C-BE32-E72D297353CC}">
              <c16:uniqueId val="{0000000A-6EB8-43A7-BB6B-796605B0FA87}"/>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r"/>
      <c:layout>
        <c:manualLayout>
          <c:xMode val="edge"/>
          <c:yMode val="edge"/>
          <c:x val="0.55607019145360348"/>
          <c:y val="0.1561753669680179"/>
          <c:w val="0.41160658307874903"/>
          <c:h val="0.68764848838339654"/>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(1).xlsx]Tables!PivotTable12</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38EB"/>
          </a:solidFill>
          <a:ln w="19050">
            <a:noFill/>
          </a:ln>
          <a:effectLst/>
        </c:spPr>
      </c:pivotFmt>
      <c:pivotFmt>
        <c:idx val="2"/>
        <c:spPr>
          <a:solidFill>
            <a:srgbClr val="7538EB">
              <a:alpha val="42000"/>
            </a:srgbClr>
          </a:solidFill>
          <a:ln w="19050">
            <a:noFill/>
          </a:ln>
          <a:effectLst/>
        </c:spPr>
      </c:pivotFmt>
      <c:pivotFmt>
        <c:idx val="3"/>
        <c:spPr>
          <a:solidFill>
            <a:srgbClr val="7538EB">
              <a:alpha val="20000"/>
            </a:srgbClr>
          </a:solidFill>
          <a:ln w="19050">
            <a:noFill/>
          </a:ln>
          <a:effectLst/>
        </c:spPr>
      </c:pivotFmt>
      <c:pivotFmt>
        <c:idx val="4"/>
        <c:spPr>
          <a:solidFill>
            <a:srgbClr val="EAE9EE">
              <a:alpha val="44000"/>
            </a:srgb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38EB">
              <a:alpha val="20000"/>
            </a:srgbClr>
          </a:solidFill>
          <a:ln w="19050">
            <a:noFill/>
          </a:ln>
          <a:effectLst/>
        </c:spPr>
      </c:pivotFmt>
      <c:pivotFmt>
        <c:idx val="7"/>
        <c:spPr>
          <a:solidFill>
            <a:srgbClr val="EAE9EE">
              <a:alpha val="44000"/>
            </a:srgbClr>
          </a:solidFill>
          <a:ln w="19050">
            <a:noFill/>
          </a:ln>
          <a:effectLst/>
        </c:spPr>
      </c:pivotFmt>
      <c:pivotFmt>
        <c:idx val="8"/>
        <c:spPr>
          <a:solidFill>
            <a:srgbClr val="7538EB"/>
          </a:solidFill>
          <a:ln w="19050">
            <a:noFill/>
          </a:ln>
          <a:effectLst/>
        </c:spPr>
      </c:pivotFmt>
      <c:pivotFmt>
        <c:idx val="9"/>
        <c:spPr>
          <a:solidFill>
            <a:srgbClr val="7538EB">
              <a:alpha val="42000"/>
            </a:srgb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538EB">
              <a:alpha val="20000"/>
            </a:srgbClr>
          </a:solidFill>
          <a:ln w="19050">
            <a:noFill/>
          </a:ln>
          <a:effectLst/>
        </c:spPr>
      </c:pivotFmt>
      <c:pivotFmt>
        <c:idx val="12"/>
        <c:spPr>
          <a:solidFill>
            <a:srgbClr val="EAE9EE">
              <a:alpha val="44000"/>
            </a:srgbClr>
          </a:solidFill>
          <a:ln w="19050">
            <a:noFill/>
          </a:ln>
          <a:effectLst/>
        </c:spPr>
      </c:pivotFmt>
      <c:pivotFmt>
        <c:idx val="13"/>
        <c:spPr>
          <a:solidFill>
            <a:srgbClr val="7538EB"/>
          </a:solidFill>
          <a:ln w="19050">
            <a:noFill/>
          </a:ln>
          <a:effectLst/>
        </c:spPr>
      </c:pivotFmt>
      <c:pivotFmt>
        <c:idx val="14"/>
        <c:spPr>
          <a:solidFill>
            <a:srgbClr val="7538EB">
              <a:alpha val="42000"/>
            </a:srgbClr>
          </a:solidFill>
          <a:ln w="19050">
            <a:noFill/>
          </a:ln>
          <a:effectLst/>
        </c:spPr>
      </c:pivotFmt>
    </c:pivotFmts>
    <c:plotArea>
      <c:layout>
        <c:manualLayout>
          <c:layoutTarget val="inner"/>
          <c:xMode val="edge"/>
          <c:yMode val="edge"/>
          <c:x val="9.1123237502288956E-2"/>
          <c:y val="0.14168233831638671"/>
          <c:w val="0.4763571995361045"/>
          <c:h val="0.77735632550282086"/>
        </c:manualLayout>
      </c:layout>
      <c:doughnutChart>
        <c:varyColors val="1"/>
        <c:ser>
          <c:idx val="0"/>
          <c:order val="0"/>
          <c:tx>
            <c:strRef>
              <c:f>Tables!$K$23</c:f>
              <c:strCache>
                <c:ptCount val="1"/>
                <c:pt idx="0">
                  <c:v>Total</c:v>
                </c:pt>
              </c:strCache>
            </c:strRef>
          </c:tx>
          <c:spPr>
            <a:ln>
              <a:noFill/>
            </a:ln>
          </c:spPr>
          <c:dPt>
            <c:idx val="0"/>
            <c:bubble3D val="0"/>
            <c:spPr>
              <a:solidFill>
                <a:srgbClr val="7538EB">
                  <a:alpha val="20000"/>
                </a:srgbClr>
              </a:solidFill>
              <a:ln w="19050">
                <a:noFill/>
              </a:ln>
              <a:effectLst/>
            </c:spPr>
            <c:extLst>
              <c:ext xmlns:c16="http://schemas.microsoft.com/office/drawing/2014/chart" uri="{C3380CC4-5D6E-409C-BE32-E72D297353CC}">
                <c16:uniqueId val="{00000001-18F6-4884-A1A1-5B3483BE76BB}"/>
              </c:ext>
            </c:extLst>
          </c:dPt>
          <c:dPt>
            <c:idx val="1"/>
            <c:bubble3D val="0"/>
            <c:spPr>
              <a:solidFill>
                <a:srgbClr val="EAE9EE">
                  <a:alpha val="44000"/>
                </a:srgbClr>
              </a:solidFill>
              <a:ln w="19050">
                <a:noFill/>
              </a:ln>
              <a:effectLst/>
            </c:spPr>
            <c:extLst>
              <c:ext xmlns:c16="http://schemas.microsoft.com/office/drawing/2014/chart" uri="{C3380CC4-5D6E-409C-BE32-E72D297353CC}">
                <c16:uniqueId val="{00000003-18F6-4884-A1A1-5B3483BE76BB}"/>
              </c:ext>
            </c:extLst>
          </c:dPt>
          <c:dPt>
            <c:idx val="2"/>
            <c:bubble3D val="0"/>
            <c:spPr>
              <a:solidFill>
                <a:srgbClr val="7538EB"/>
              </a:solidFill>
              <a:ln w="19050">
                <a:noFill/>
              </a:ln>
              <a:effectLst/>
            </c:spPr>
            <c:extLst>
              <c:ext xmlns:c16="http://schemas.microsoft.com/office/drawing/2014/chart" uri="{C3380CC4-5D6E-409C-BE32-E72D297353CC}">
                <c16:uniqueId val="{00000005-18F6-4884-A1A1-5B3483BE76BB}"/>
              </c:ext>
            </c:extLst>
          </c:dPt>
          <c:dPt>
            <c:idx val="3"/>
            <c:bubble3D val="0"/>
            <c:spPr>
              <a:solidFill>
                <a:srgbClr val="7538EB">
                  <a:alpha val="42000"/>
                </a:srgbClr>
              </a:solidFill>
              <a:ln w="19050">
                <a:noFill/>
              </a:ln>
              <a:effectLst/>
            </c:spPr>
            <c:extLst>
              <c:ext xmlns:c16="http://schemas.microsoft.com/office/drawing/2014/chart" uri="{C3380CC4-5D6E-409C-BE32-E72D297353CC}">
                <c16:uniqueId val="{00000007-18F6-4884-A1A1-5B3483BE76BB}"/>
              </c:ext>
            </c:extLst>
          </c:dPt>
          <c:cat>
            <c:strRef>
              <c:f>Tables!$J$24:$J$27</c:f>
              <c:strCache>
                <c:ptCount val="4"/>
                <c:pt idx="0">
                  <c:v>Rep-A</c:v>
                </c:pt>
                <c:pt idx="1">
                  <c:v>Rep-B</c:v>
                </c:pt>
                <c:pt idx="2">
                  <c:v>Rep-C</c:v>
                </c:pt>
                <c:pt idx="3">
                  <c:v>Rep-D</c:v>
                </c:pt>
              </c:strCache>
            </c:strRef>
          </c:cat>
          <c:val>
            <c:numRef>
              <c:f>Tables!$K$24:$K$27</c:f>
              <c:numCache>
                <c:formatCode>0.00%</c:formatCode>
                <c:ptCount val="4"/>
                <c:pt idx="0">
                  <c:v>0.24706221243483803</c:v>
                </c:pt>
                <c:pt idx="1">
                  <c:v>0.27134449624214491</c:v>
                </c:pt>
                <c:pt idx="2">
                  <c:v>0.26416081929508667</c:v>
                </c:pt>
                <c:pt idx="3">
                  <c:v>0.21743247202793034</c:v>
                </c:pt>
              </c:numCache>
            </c:numRef>
          </c:val>
          <c:extLst>
            <c:ext xmlns:c16="http://schemas.microsoft.com/office/drawing/2014/chart" uri="{C3380CC4-5D6E-409C-BE32-E72D297353CC}">
              <c16:uniqueId val="{00000008-18F6-4884-A1A1-5B3483BE76BB}"/>
            </c:ext>
          </c:extLst>
        </c:ser>
        <c:dLbls>
          <c:showLegendKey val="0"/>
          <c:showVal val="0"/>
          <c:showCatName val="0"/>
          <c:showSerName val="0"/>
          <c:showPercent val="0"/>
          <c:showBubbleSize val="0"/>
          <c:showLeaderLines val="1"/>
        </c:dLbls>
        <c:firstSliceAng val="79"/>
        <c:holeSize val="80"/>
      </c:doughnutChart>
      <c:spPr>
        <a:noFill/>
        <a:ln>
          <a:noFill/>
        </a:ln>
        <a:effectLst/>
      </c:spPr>
    </c:plotArea>
    <c:legend>
      <c:legendPos val="r"/>
      <c:layout>
        <c:manualLayout>
          <c:xMode val="edge"/>
          <c:yMode val="edge"/>
          <c:x val="0.62139437221510097"/>
          <c:y val="0.18729640136423042"/>
          <c:w val="0.31659012390892999"/>
          <c:h val="0.64564753131673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(1).xlsx]Tables!PivotTable7</c:name>
    <c:fmtId val="5"/>
  </c:pivotSource>
  <c:chart>
    <c:autoTitleDeleted val="1"/>
    <c:pivotFmts>
      <c:pivotFmt>
        <c:idx val="0"/>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438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Tables!$D$8</c:f>
              <c:strCache>
                <c:ptCount val="1"/>
                <c:pt idx="0">
                  <c:v>Total</c:v>
                </c:pt>
              </c:strCache>
            </c:strRef>
          </c:tx>
          <c:spPr>
            <a:solidFill>
              <a:srgbClr val="7438EA"/>
            </a:solidFill>
            <a:ln>
              <a:noFill/>
            </a:ln>
            <a:effectLst/>
          </c:spPr>
          <c:invertIfNegative val="0"/>
          <c:cat>
            <c:strRef>
              <c:f>Tables!$C$9:$C$13</c:f>
              <c:strCache>
                <c:ptCount val="5"/>
                <c:pt idx="0">
                  <c:v>Chicago </c:v>
                </c:pt>
                <c:pt idx="1">
                  <c:v>Houston </c:v>
                </c:pt>
                <c:pt idx="2">
                  <c:v>Los Angeles </c:v>
                </c:pt>
                <c:pt idx="3">
                  <c:v>New York </c:v>
                </c:pt>
                <c:pt idx="4">
                  <c:v>Phoenix </c:v>
                </c:pt>
              </c:strCache>
            </c:strRef>
          </c:cat>
          <c:val>
            <c:numRef>
              <c:f>Tables!$D$9:$D$13</c:f>
              <c:numCache>
                <c:formatCode>"$"0.0,"K"</c:formatCode>
                <c:ptCount val="5"/>
                <c:pt idx="0">
                  <c:v>96469.030000000013</c:v>
                </c:pt>
                <c:pt idx="1">
                  <c:v>99674.890000000029</c:v>
                </c:pt>
                <c:pt idx="2">
                  <c:v>97785.499999999985</c:v>
                </c:pt>
                <c:pt idx="3">
                  <c:v>91964.440000000017</c:v>
                </c:pt>
                <c:pt idx="4">
                  <c:v>86859.86</c:v>
                </c:pt>
              </c:numCache>
            </c:numRef>
          </c:val>
          <c:extLst>
            <c:ext xmlns:c16="http://schemas.microsoft.com/office/drawing/2014/chart" uri="{C3380CC4-5D6E-409C-BE32-E72D297353CC}">
              <c16:uniqueId val="{00000000-373B-4C72-986B-BE252E83C890}"/>
            </c:ext>
          </c:extLst>
        </c:ser>
        <c:dLbls>
          <c:showLegendKey val="0"/>
          <c:showVal val="0"/>
          <c:showCatName val="0"/>
          <c:showSerName val="0"/>
          <c:showPercent val="0"/>
          <c:showBubbleSize val="0"/>
        </c:dLbls>
        <c:gapWidth val="150"/>
        <c:overlap val="100"/>
        <c:axId val="467661704"/>
        <c:axId val="467663144"/>
      </c:barChart>
      <c:catAx>
        <c:axId val="46766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467663144"/>
        <c:crosses val="autoZero"/>
        <c:auto val="1"/>
        <c:lblAlgn val="ctr"/>
        <c:lblOffset val="100"/>
        <c:noMultiLvlLbl val="0"/>
      </c:catAx>
      <c:valAx>
        <c:axId val="467663144"/>
        <c:scaling>
          <c:orientation val="minMax"/>
        </c:scaling>
        <c:delete val="1"/>
        <c:axPos val="l"/>
        <c:numFmt formatCode="&quot;$&quot;0.0,&quot;K&quot;" sourceLinked="1"/>
        <c:majorTickMark val="none"/>
        <c:minorTickMark val="none"/>
        <c:tickLblPos val="nextTo"/>
        <c:crossAx val="467661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(1).xlsx]Tables!PivotTable8</c:name>
    <c:fmtId val="5"/>
  </c:pivotSource>
  <c:chart>
    <c:autoTitleDeleted val="1"/>
    <c:pivotFmts>
      <c:pivotFmt>
        <c:idx val="0"/>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diamond"/>
          <c:size val="5"/>
        </c:marker>
      </c:pivotFmt>
      <c:pivotFmt>
        <c:idx val="3"/>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2700" cap="rnd">
            <a:solidFill>
              <a:schemeClr val="accent1"/>
            </a:solidFill>
            <a:round/>
          </a:ln>
          <a:effectLst/>
        </c:spPr>
        <c:marker>
          <c:symbol val="diamond"/>
          <c:size val="5"/>
          <c:spPr>
            <a:solidFill>
              <a:schemeClr val="accent1"/>
            </a:solidFill>
            <a:ln w="9525">
              <a:solidFill>
                <a:schemeClr val="accent1"/>
              </a:solidFill>
            </a:ln>
            <a:effectLst/>
          </c:spPr>
        </c:marker>
      </c:pivotFmt>
      <c:pivotFmt>
        <c:idx val="12"/>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B9BAF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9BAF0"/>
            </a:solidFill>
            <a:round/>
          </a:ln>
          <a:effectLst/>
        </c:spPr>
        <c:marker>
          <c:symbol val="diamond"/>
          <c:size val="5"/>
          <c:spPr>
            <a:solidFill>
              <a:schemeClr val="accent1"/>
            </a:solidFill>
            <a:ln w="9525">
              <a:solidFill>
                <a:schemeClr val="accent1"/>
              </a:solidFill>
            </a:ln>
            <a:effectLst/>
          </c:spPr>
        </c:marker>
      </c:pivotFmt>
      <c:pivotFmt>
        <c:idx val="20"/>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7438EA"/>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B9BAF0"/>
            </a:solidFill>
            <a:round/>
          </a:ln>
          <a:effectLst/>
        </c:spPr>
        <c:marker>
          <c:symbol val="none"/>
        </c:marker>
      </c:pivotFmt>
      <c:pivotFmt>
        <c:idx val="25"/>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B9BAF0"/>
            </a:solidFill>
            <a:round/>
          </a:ln>
          <a:effectLst/>
        </c:spPr>
        <c:marker>
          <c:symbol val="diamond"/>
          <c:size val="5"/>
          <c:spPr>
            <a:solidFill>
              <a:schemeClr val="accent1"/>
            </a:solidFill>
            <a:ln w="9525">
              <a:solidFill>
                <a:schemeClr val="accent1"/>
              </a:solidFill>
            </a:ln>
            <a:effectLst/>
          </c:spPr>
        </c:marker>
      </c:pivotFmt>
      <c:pivotFmt>
        <c:idx val="32"/>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B9BAF0"/>
            </a:solidFill>
            <a:round/>
          </a:ln>
          <a:effectLst/>
        </c:spPr>
        <c:marker>
          <c:symbol val="none"/>
        </c:marker>
      </c:pivotFmt>
      <c:pivotFmt>
        <c:idx val="39"/>
        <c:spPr>
          <a:solidFill>
            <a:schemeClr val="accent1"/>
          </a:solidFill>
          <a:ln w="28575" cap="rnd">
            <a:solidFill>
              <a:srgbClr val="7438EA"/>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rgbClr val="B9BAF0"/>
            </a:solidFill>
            <a:round/>
          </a:ln>
          <a:effectLst/>
        </c:spPr>
        <c:marker>
          <c:symbol val="diamond"/>
          <c:size val="5"/>
          <c:spPr>
            <a:solidFill>
              <a:schemeClr val="accent1"/>
            </a:solidFill>
            <a:ln w="9525">
              <a:solidFill>
                <a:schemeClr val="accent1"/>
              </a:solidFill>
            </a:ln>
            <a:effectLst/>
          </c:spPr>
        </c:marker>
      </c:pivotFmt>
      <c:pivotFmt>
        <c:idx val="44"/>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rgbClr val="7438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rgbClr val="B9BAF0"/>
            </a:solidFill>
            <a:round/>
          </a:ln>
          <a:effectLst/>
        </c:spPr>
        <c:marker>
          <c:symbol val="none"/>
        </c:marker>
      </c:pivotFmt>
      <c:pivotFmt>
        <c:idx val="51"/>
        <c:spPr>
          <a:ln w="28575" cap="rnd">
            <a:solidFill>
              <a:srgbClr val="7438EA"/>
            </a:solidFill>
            <a:round/>
            <a:headEnd type="oval"/>
          </a:ln>
          <a:effectLst/>
        </c:spPr>
        <c:marker>
          <c:symbol val="none"/>
        </c:marker>
        <c:dLbl>
          <c:idx val="0"/>
          <c:layout>
            <c:manualLayout>
              <c:x val="-4.5592519685039475E-2"/>
              <c:y val="3.95949985418489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Tables!$G$8</c:f>
              <c:strCache>
                <c:ptCount val="1"/>
                <c:pt idx="0">
                  <c:v>Total</c:v>
                </c:pt>
              </c:strCache>
            </c:strRef>
          </c:tx>
          <c:spPr>
            <a:ln w="28575" cap="rnd">
              <a:solidFill>
                <a:srgbClr val="7438EA"/>
              </a:solidFill>
              <a:round/>
            </a:ln>
            <a:effectLst/>
          </c:spPr>
          <c:marker>
            <c:symbol val="none"/>
          </c:marker>
          <c:dPt>
            <c:idx val="1"/>
            <c:marker>
              <c:symbol val="none"/>
            </c:marker>
            <c:bubble3D val="0"/>
            <c:spPr>
              <a:ln w="28575" cap="rnd">
                <a:solidFill>
                  <a:srgbClr val="7438EA"/>
                </a:solidFill>
                <a:round/>
              </a:ln>
              <a:effectLst/>
            </c:spPr>
            <c:extLst>
              <c:ext xmlns:c16="http://schemas.microsoft.com/office/drawing/2014/chart" uri="{C3380CC4-5D6E-409C-BE32-E72D297353CC}">
                <c16:uniqueId val="{00000001-9749-4F51-9855-1FA02F55A73A}"/>
              </c:ext>
            </c:extLst>
          </c:dPt>
          <c:dPt>
            <c:idx val="2"/>
            <c:marker>
              <c:symbol val="none"/>
            </c:marker>
            <c:bubble3D val="0"/>
            <c:spPr>
              <a:ln w="28575" cap="rnd">
                <a:solidFill>
                  <a:srgbClr val="7438EA"/>
                </a:solidFill>
                <a:round/>
              </a:ln>
              <a:effectLst/>
            </c:spPr>
            <c:extLst>
              <c:ext xmlns:c16="http://schemas.microsoft.com/office/drawing/2014/chart" uri="{C3380CC4-5D6E-409C-BE32-E72D297353CC}">
                <c16:uniqueId val="{00000003-9749-4F51-9855-1FA02F55A73A}"/>
              </c:ext>
            </c:extLst>
          </c:dPt>
          <c:dPt>
            <c:idx val="3"/>
            <c:marker>
              <c:symbol val="diamond"/>
              <c:size val="5"/>
              <c:spPr>
                <a:solidFill>
                  <a:schemeClr val="accent1"/>
                </a:solidFill>
                <a:ln w="9525">
                  <a:solidFill>
                    <a:schemeClr val="accent1"/>
                  </a:solidFill>
                </a:ln>
                <a:effectLst/>
              </c:spPr>
            </c:marker>
            <c:bubble3D val="0"/>
            <c:spPr>
              <a:ln w="28575" cap="rnd">
                <a:solidFill>
                  <a:srgbClr val="B9BAF0"/>
                </a:solidFill>
                <a:round/>
              </a:ln>
              <a:effectLst/>
            </c:spPr>
            <c:extLst>
              <c:ext xmlns:c16="http://schemas.microsoft.com/office/drawing/2014/chart" uri="{C3380CC4-5D6E-409C-BE32-E72D297353CC}">
                <c16:uniqueId val="{00000005-9749-4F51-9855-1FA02F55A73A}"/>
              </c:ext>
            </c:extLst>
          </c:dPt>
          <c:dPt>
            <c:idx val="4"/>
            <c:marker>
              <c:symbol val="none"/>
            </c:marker>
            <c:bubble3D val="0"/>
            <c:spPr>
              <a:ln w="28575" cap="rnd">
                <a:solidFill>
                  <a:srgbClr val="7438EA"/>
                </a:solidFill>
                <a:round/>
              </a:ln>
              <a:effectLst/>
            </c:spPr>
            <c:extLst>
              <c:ext xmlns:c16="http://schemas.microsoft.com/office/drawing/2014/chart" uri="{C3380CC4-5D6E-409C-BE32-E72D297353CC}">
                <c16:uniqueId val="{00000007-9749-4F51-9855-1FA02F55A73A}"/>
              </c:ext>
            </c:extLst>
          </c:dPt>
          <c:dPt>
            <c:idx val="5"/>
            <c:marker>
              <c:symbol val="none"/>
            </c:marker>
            <c:bubble3D val="0"/>
            <c:spPr>
              <a:ln w="28575" cap="rnd">
                <a:solidFill>
                  <a:srgbClr val="7438EA"/>
                </a:solidFill>
                <a:round/>
              </a:ln>
              <a:effectLst/>
            </c:spPr>
            <c:extLst>
              <c:ext xmlns:c16="http://schemas.microsoft.com/office/drawing/2014/chart" uri="{C3380CC4-5D6E-409C-BE32-E72D297353CC}">
                <c16:uniqueId val="{00000009-9749-4F51-9855-1FA02F55A73A}"/>
              </c:ext>
            </c:extLst>
          </c:dPt>
          <c:dPt>
            <c:idx val="6"/>
            <c:marker>
              <c:symbol val="none"/>
            </c:marker>
            <c:bubble3D val="0"/>
            <c:spPr>
              <a:ln w="28575" cap="rnd">
                <a:solidFill>
                  <a:srgbClr val="7438EA"/>
                </a:solidFill>
                <a:round/>
              </a:ln>
              <a:effectLst/>
            </c:spPr>
            <c:extLst>
              <c:ext xmlns:c16="http://schemas.microsoft.com/office/drawing/2014/chart" uri="{C3380CC4-5D6E-409C-BE32-E72D297353CC}">
                <c16:uniqueId val="{0000000B-9749-4F51-9855-1FA02F55A73A}"/>
              </c:ext>
            </c:extLst>
          </c:dPt>
          <c:dPt>
            <c:idx val="7"/>
            <c:marker>
              <c:symbol val="none"/>
            </c:marker>
            <c:bubble3D val="0"/>
            <c:spPr>
              <a:ln w="28575" cap="rnd">
                <a:solidFill>
                  <a:srgbClr val="7438EA"/>
                </a:solidFill>
                <a:round/>
              </a:ln>
              <a:effectLst/>
            </c:spPr>
            <c:extLst>
              <c:ext xmlns:c16="http://schemas.microsoft.com/office/drawing/2014/chart" uri="{C3380CC4-5D6E-409C-BE32-E72D297353CC}">
                <c16:uniqueId val="{0000000D-9749-4F51-9855-1FA02F55A73A}"/>
              </c:ext>
            </c:extLst>
          </c:dPt>
          <c:dPt>
            <c:idx val="8"/>
            <c:marker>
              <c:symbol val="none"/>
            </c:marker>
            <c:bubble3D val="0"/>
            <c:spPr>
              <a:ln w="28575" cap="rnd">
                <a:solidFill>
                  <a:srgbClr val="7438EA"/>
                </a:solidFill>
                <a:round/>
              </a:ln>
              <a:effectLst/>
            </c:spPr>
            <c:extLst>
              <c:ext xmlns:c16="http://schemas.microsoft.com/office/drawing/2014/chart" uri="{C3380CC4-5D6E-409C-BE32-E72D297353CC}">
                <c16:uniqueId val="{0000000F-9749-4F51-9855-1FA02F55A73A}"/>
              </c:ext>
            </c:extLst>
          </c:dPt>
          <c:dPt>
            <c:idx val="9"/>
            <c:marker>
              <c:symbol val="none"/>
            </c:marker>
            <c:bubble3D val="0"/>
            <c:spPr>
              <a:ln w="28575" cap="rnd">
                <a:solidFill>
                  <a:srgbClr val="7438EA"/>
                </a:solidFill>
                <a:round/>
              </a:ln>
              <a:effectLst/>
            </c:spPr>
            <c:extLst>
              <c:ext xmlns:c16="http://schemas.microsoft.com/office/drawing/2014/chart" uri="{C3380CC4-5D6E-409C-BE32-E72D297353CC}">
                <c16:uniqueId val="{00000011-9749-4F51-9855-1FA02F55A73A}"/>
              </c:ext>
            </c:extLst>
          </c:dPt>
          <c:dPt>
            <c:idx val="10"/>
            <c:marker>
              <c:symbol val="none"/>
            </c:marker>
            <c:bubble3D val="0"/>
            <c:spPr>
              <a:ln w="28575" cap="rnd">
                <a:solidFill>
                  <a:srgbClr val="B9BAF0"/>
                </a:solidFill>
                <a:round/>
              </a:ln>
              <a:effectLst/>
            </c:spPr>
            <c:extLst>
              <c:ext xmlns:c16="http://schemas.microsoft.com/office/drawing/2014/chart" uri="{C3380CC4-5D6E-409C-BE32-E72D297353CC}">
                <c16:uniqueId val="{00000013-9749-4F51-9855-1FA02F55A73A}"/>
              </c:ext>
            </c:extLst>
          </c:dPt>
          <c:dPt>
            <c:idx val="11"/>
            <c:marker>
              <c:symbol val="none"/>
            </c:marker>
            <c:bubble3D val="0"/>
            <c:spPr>
              <a:ln w="28575" cap="rnd">
                <a:solidFill>
                  <a:srgbClr val="7438EA"/>
                </a:solidFill>
                <a:round/>
                <a:headEnd type="oval"/>
              </a:ln>
              <a:effectLst/>
            </c:spPr>
            <c:extLst>
              <c:ext xmlns:c16="http://schemas.microsoft.com/office/drawing/2014/chart" uri="{C3380CC4-5D6E-409C-BE32-E72D297353CC}">
                <c16:uniqueId val="{00000015-9749-4F51-9855-1FA02F55A73A}"/>
              </c:ext>
            </c:extLst>
          </c:dPt>
          <c:dLbls>
            <c:dLbl>
              <c:idx val="1"/>
              <c:delete val="1"/>
              <c:extLst>
                <c:ext xmlns:c15="http://schemas.microsoft.com/office/drawing/2012/chart" uri="{CE6537A1-D6FC-4f65-9D91-7224C49458BB}"/>
                <c:ext xmlns:c16="http://schemas.microsoft.com/office/drawing/2014/chart" uri="{C3380CC4-5D6E-409C-BE32-E72D297353CC}">
                  <c16:uniqueId val="{00000001-9749-4F51-9855-1FA02F55A73A}"/>
                </c:ext>
              </c:extLst>
            </c:dLbl>
            <c:dLbl>
              <c:idx val="2"/>
              <c:delete val="1"/>
              <c:extLst>
                <c:ext xmlns:c15="http://schemas.microsoft.com/office/drawing/2012/chart" uri="{CE6537A1-D6FC-4f65-9D91-7224C49458BB}"/>
                <c:ext xmlns:c16="http://schemas.microsoft.com/office/drawing/2014/chart" uri="{C3380CC4-5D6E-409C-BE32-E72D297353CC}">
                  <c16:uniqueId val="{00000003-9749-4F51-9855-1FA02F55A73A}"/>
                </c:ext>
              </c:extLst>
            </c:dLbl>
            <c:dLbl>
              <c:idx val="4"/>
              <c:delete val="1"/>
              <c:extLst>
                <c:ext xmlns:c15="http://schemas.microsoft.com/office/drawing/2012/chart" uri="{CE6537A1-D6FC-4f65-9D91-7224C49458BB}"/>
                <c:ext xmlns:c16="http://schemas.microsoft.com/office/drawing/2014/chart" uri="{C3380CC4-5D6E-409C-BE32-E72D297353CC}">
                  <c16:uniqueId val="{00000007-9749-4F51-9855-1FA02F55A73A}"/>
                </c:ext>
              </c:extLst>
            </c:dLbl>
            <c:dLbl>
              <c:idx val="5"/>
              <c:delete val="1"/>
              <c:extLst>
                <c:ext xmlns:c15="http://schemas.microsoft.com/office/drawing/2012/chart" uri="{CE6537A1-D6FC-4f65-9D91-7224C49458BB}"/>
                <c:ext xmlns:c16="http://schemas.microsoft.com/office/drawing/2014/chart" uri="{C3380CC4-5D6E-409C-BE32-E72D297353CC}">
                  <c16:uniqueId val="{00000009-9749-4F51-9855-1FA02F55A73A}"/>
                </c:ext>
              </c:extLst>
            </c:dLbl>
            <c:dLbl>
              <c:idx val="6"/>
              <c:delete val="1"/>
              <c:extLst>
                <c:ext xmlns:c15="http://schemas.microsoft.com/office/drawing/2012/chart" uri="{CE6537A1-D6FC-4f65-9D91-7224C49458BB}"/>
                <c:ext xmlns:c16="http://schemas.microsoft.com/office/drawing/2014/chart" uri="{C3380CC4-5D6E-409C-BE32-E72D297353CC}">
                  <c16:uniqueId val="{0000000B-9749-4F51-9855-1FA02F55A73A}"/>
                </c:ext>
              </c:extLst>
            </c:dLbl>
            <c:dLbl>
              <c:idx val="7"/>
              <c:delete val="1"/>
              <c:extLst>
                <c:ext xmlns:c15="http://schemas.microsoft.com/office/drawing/2012/chart" uri="{CE6537A1-D6FC-4f65-9D91-7224C49458BB}"/>
                <c:ext xmlns:c16="http://schemas.microsoft.com/office/drawing/2014/chart" uri="{C3380CC4-5D6E-409C-BE32-E72D297353CC}">
                  <c16:uniqueId val="{0000000D-9749-4F51-9855-1FA02F55A73A}"/>
                </c:ext>
              </c:extLst>
            </c:dLbl>
            <c:dLbl>
              <c:idx val="8"/>
              <c:delete val="1"/>
              <c:extLst>
                <c:ext xmlns:c15="http://schemas.microsoft.com/office/drawing/2012/chart" uri="{CE6537A1-D6FC-4f65-9D91-7224C49458BB}"/>
                <c:ext xmlns:c16="http://schemas.microsoft.com/office/drawing/2014/chart" uri="{C3380CC4-5D6E-409C-BE32-E72D297353CC}">
                  <c16:uniqueId val="{0000000F-9749-4F51-9855-1FA02F55A73A}"/>
                </c:ext>
              </c:extLst>
            </c:dLbl>
            <c:dLbl>
              <c:idx val="9"/>
              <c:delete val="1"/>
              <c:extLst>
                <c:ext xmlns:c15="http://schemas.microsoft.com/office/drawing/2012/chart" uri="{CE6537A1-D6FC-4f65-9D91-7224C49458BB}"/>
                <c:ext xmlns:c16="http://schemas.microsoft.com/office/drawing/2014/chart" uri="{C3380CC4-5D6E-409C-BE32-E72D297353CC}">
                  <c16:uniqueId val="{00000011-9749-4F51-9855-1FA02F55A73A}"/>
                </c:ext>
              </c:extLst>
            </c:dLbl>
            <c:dLbl>
              <c:idx val="11"/>
              <c:layout>
                <c:manualLayout>
                  <c:x val="-4.5592519685039475E-2"/>
                  <c:y val="3.9594998541848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49-4F51-9855-1FA02F55A73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Tables!$F$9:$F$20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Tables!$G$9:$G$20</c:f>
              <c:numCache>
                <c:formatCode>"$"0.0,"K"</c:formatCode>
                <c:ptCount val="12"/>
                <c:pt idx="0">
                  <c:v>44901.229999999996</c:v>
                </c:pt>
                <c:pt idx="1">
                  <c:v>40006.410000000011</c:v>
                </c:pt>
                <c:pt idx="2">
                  <c:v>34024.689999999995</c:v>
                </c:pt>
                <c:pt idx="3">
                  <c:v>22205.719999999994</c:v>
                </c:pt>
                <c:pt idx="4">
                  <c:v>35976.130000000005</c:v>
                </c:pt>
                <c:pt idx="5">
                  <c:v>46003.37999999999</c:v>
                </c:pt>
                <c:pt idx="6">
                  <c:v>42860.610000000022</c:v>
                </c:pt>
                <c:pt idx="7">
                  <c:v>43024.690000000017</c:v>
                </c:pt>
                <c:pt idx="8">
                  <c:v>36050.97</c:v>
                </c:pt>
                <c:pt idx="9">
                  <c:v>44946.789999999994</c:v>
                </c:pt>
                <c:pt idx="10">
                  <c:v>47395.839999999997</c:v>
                </c:pt>
                <c:pt idx="11">
                  <c:v>35357.259999999995</c:v>
                </c:pt>
              </c:numCache>
            </c:numRef>
          </c:val>
          <c:smooth val="1"/>
          <c:extLst>
            <c:ext xmlns:c16="http://schemas.microsoft.com/office/drawing/2014/chart" uri="{C3380CC4-5D6E-409C-BE32-E72D297353CC}">
              <c16:uniqueId val="{00000016-9749-4F51-9855-1FA02F55A73A}"/>
            </c:ext>
          </c:extLst>
        </c:ser>
        <c:dLbls>
          <c:showLegendKey val="0"/>
          <c:showVal val="0"/>
          <c:showCatName val="0"/>
          <c:showSerName val="0"/>
          <c:showPercent val="0"/>
          <c:showBubbleSize val="0"/>
        </c:dLbls>
        <c:smooth val="0"/>
        <c:axId val="337029008"/>
        <c:axId val="337025768"/>
      </c:lineChart>
      <c:catAx>
        <c:axId val="3370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337025768"/>
        <c:crosses val="autoZero"/>
        <c:auto val="1"/>
        <c:lblAlgn val="ctr"/>
        <c:lblOffset val="100"/>
        <c:noMultiLvlLbl val="0"/>
      </c:catAx>
      <c:valAx>
        <c:axId val="337025768"/>
        <c:scaling>
          <c:orientation val="minMax"/>
        </c:scaling>
        <c:delete val="1"/>
        <c:axPos val="l"/>
        <c:numFmt formatCode="&quot;$&quot;0.0,&quot;K&quot;" sourceLinked="1"/>
        <c:majorTickMark val="none"/>
        <c:minorTickMark val="none"/>
        <c:tickLblPos val="nextTo"/>
        <c:crossAx val="33702900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(1).xlsx]Tables!PivotTable9</c:name>
    <c:fmtId val="5"/>
  </c:pivotSource>
  <c:chart>
    <c:autoTitleDeleted val="1"/>
    <c:pivotFmts>
      <c:pivotFmt>
        <c:idx val="0"/>
        <c:spPr>
          <a:solidFill>
            <a:srgbClr val="B8BAF0"/>
          </a:solidFill>
          <a:ln>
            <a:noFill/>
          </a:ln>
          <a:effectLst/>
        </c:spPr>
        <c:marker>
          <c:symbol val="none"/>
        </c:marker>
      </c:pivotFmt>
      <c:pivotFmt>
        <c:idx val="1"/>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8BA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8BAF0"/>
          </a:solidFill>
          <a:ln>
            <a:noFill/>
          </a:ln>
          <a:effectLst/>
        </c:spPr>
      </c:pivotFmt>
      <c:pivotFmt>
        <c:idx val="10"/>
        <c:spPr>
          <a:solidFill>
            <a:srgbClr val="B8BAF0"/>
          </a:solidFill>
          <a:ln>
            <a:noFill/>
          </a:ln>
          <a:effectLst/>
        </c:spPr>
      </c:pivotFmt>
      <c:pivotFmt>
        <c:idx val="11"/>
        <c:spPr>
          <a:solidFill>
            <a:srgbClr val="B8BAF0"/>
          </a:solidFill>
          <a:ln>
            <a:noFill/>
          </a:ln>
          <a:effectLst/>
        </c:spPr>
      </c:pivotFmt>
      <c:pivotFmt>
        <c:idx val="12"/>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8BA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Tables!$K$8</c:f>
              <c:strCache>
                <c:ptCount val="1"/>
                <c:pt idx="0">
                  <c:v>Total</c:v>
                </c:pt>
              </c:strCache>
            </c:strRef>
          </c:tx>
          <c:spPr>
            <a:solidFill>
              <a:srgbClr val="B8BAF0"/>
            </a:solidFill>
            <a:ln>
              <a:noFill/>
            </a:ln>
            <a:effectLst/>
          </c:spPr>
          <c:invertIfNegative val="0"/>
          <c:cat>
            <c:strRef>
              <c:f>Tables!$J$9:$J$13</c:f>
              <c:strCache>
                <c:ptCount val="5"/>
                <c:pt idx="0">
                  <c:v>Headphones</c:v>
                </c:pt>
                <c:pt idx="1">
                  <c:v>Laptop</c:v>
                </c:pt>
                <c:pt idx="2">
                  <c:v>Monitor</c:v>
                </c:pt>
                <c:pt idx="3">
                  <c:v>Phone</c:v>
                </c:pt>
                <c:pt idx="4">
                  <c:v>Tablet</c:v>
                </c:pt>
              </c:strCache>
            </c:strRef>
          </c:cat>
          <c:val>
            <c:numRef>
              <c:f>Tables!$K$9:$K$13</c:f>
              <c:numCache>
                <c:formatCode>General</c:formatCode>
                <c:ptCount val="5"/>
                <c:pt idx="0">
                  <c:v>306</c:v>
                </c:pt>
                <c:pt idx="1">
                  <c:v>409</c:v>
                </c:pt>
                <c:pt idx="2">
                  <c:v>298</c:v>
                </c:pt>
                <c:pt idx="3">
                  <c:v>411</c:v>
                </c:pt>
                <c:pt idx="4">
                  <c:v>308</c:v>
                </c:pt>
              </c:numCache>
            </c:numRef>
          </c:val>
          <c:extLst>
            <c:ext xmlns:c16="http://schemas.microsoft.com/office/drawing/2014/chart" uri="{C3380CC4-5D6E-409C-BE32-E72D297353CC}">
              <c16:uniqueId val="{00000000-E9D0-4E85-8DDF-973E991644EE}"/>
            </c:ext>
          </c:extLst>
        </c:ser>
        <c:dLbls>
          <c:showLegendKey val="0"/>
          <c:showVal val="0"/>
          <c:showCatName val="0"/>
          <c:showSerName val="0"/>
          <c:showPercent val="0"/>
          <c:showBubbleSize val="0"/>
        </c:dLbls>
        <c:gapWidth val="150"/>
        <c:overlap val="100"/>
        <c:axId val="467864368"/>
        <c:axId val="467859688"/>
      </c:barChart>
      <c:catAx>
        <c:axId val="46786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467859688"/>
        <c:crosses val="autoZero"/>
        <c:auto val="1"/>
        <c:lblAlgn val="ctr"/>
        <c:lblOffset val="100"/>
        <c:noMultiLvlLbl val="0"/>
      </c:catAx>
      <c:valAx>
        <c:axId val="467859688"/>
        <c:scaling>
          <c:orientation val="minMax"/>
        </c:scaling>
        <c:delete val="1"/>
        <c:axPos val="b"/>
        <c:numFmt formatCode="General" sourceLinked="1"/>
        <c:majorTickMark val="none"/>
        <c:minorTickMark val="none"/>
        <c:tickLblPos val="nextTo"/>
        <c:crossAx val="46786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8BA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8BA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B8BA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2124854324227"/>
          <c:y val="7.4666603954558361E-2"/>
          <c:w val="0.79798358402729119"/>
          <c:h val="0.61600032251941417"/>
        </c:manualLayout>
      </c:layout>
      <c:lineChart>
        <c:grouping val="standard"/>
        <c:varyColors val="0"/>
        <c:ser>
          <c:idx val="0"/>
          <c:order val="0"/>
          <c:tx>
            <c:strRef>
              <c:f>Tables!$D$20</c:f>
              <c:strCache>
                <c:ptCount val="1"/>
                <c:pt idx="0">
                  <c:v>Total</c:v>
                </c:pt>
              </c:strCache>
            </c:strRef>
          </c:tx>
          <c:spPr>
            <a:ln w="28575" cap="rnd">
              <a:solidFill>
                <a:srgbClr val="B8BAF0"/>
              </a:solidFill>
              <a:round/>
            </a:ln>
            <a:effectLst/>
          </c:spPr>
          <c:marker>
            <c:symbol val="none"/>
          </c:marker>
          <c:cat>
            <c:strRef>
              <c:f>Tables!$C$21:$C$32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Tables!$D$21:$D$32</c:f>
              <c:numCache>
                <c:formatCode>General</c:formatCode>
                <c:ptCount val="12"/>
                <c:pt idx="0">
                  <c:v>166</c:v>
                </c:pt>
                <c:pt idx="1">
                  <c:v>138</c:v>
                </c:pt>
                <c:pt idx="2">
                  <c:v>125</c:v>
                </c:pt>
                <c:pt idx="3">
                  <c:v>82</c:v>
                </c:pt>
                <c:pt idx="4">
                  <c:v>137</c:v>
                </c:pt>
                <c:pt idx="5">
                  <c:v>177</c:v>
                </c:pt>
                <c:pt idx="6">
                  <c:v>177</c:v>
                </c:pt>
                <c:pt idx="7">
                  <c:v>141</c:v>
                </c:pt>
                <c:pt idx="8">
                  <c:v>136</c:v>
                </c:pt>
                <c:pt idx="9">
                  <c:v>166</c:v>
                </c:pt>
                <c:pt idx="10">
                  <c:v>159</c:v>
                </c:pt>
                <c:pt idx="11">
                  <c:v>128</c:v>
                </c:pt>
              </c:numCache>
            </c:numRef>
          </c:val>
          <c:smooth val="1"/>
          <c:extLst>
            <c:ext xmlns:c16="http://schemas.microsoft.com/office/drawing/2014/chart" uri="{C3380CC4-5D6E-409C-BE32-E72D297353CC}">
              <c16:uniqueId val="{00000000-CB73-4215-8957-BDC8E554A33B}"/>
            </c:ext>
          </c:extLst>
        </c:ser>
        <c:dLbls>
          <c:showLegendKey val="0"/>
          <c:showVal val="0"/>
          <c:showCatName val="0"/>
          <c:showSerName val="0"/>
          <c:showPercent val="0"/>
          <c:showBubbleSize val="0"/>
        </c:dLbls>
        <c:smooth val="0"/>
        <c:axId val="342443176"/>
        <c:axId val="342443536"/>
      </c:lineChart>
      <c:catAx>
        <c:axId val="342443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crossAx val="342443536"/>
        <c:crosses val="autoZero"/>
        <c:auto val="1"/>
        <c:lblAlgn val="ctr"/>
        <c:lblOffset val="100"/>
        <c:noMultiLvlLbl val="0"/>
      </c:catAx>
      <c:valAx>
        <c:axId val="342443536"/>
        <c:scaling>
          <c:orientation val="minMax"/>
        </c:scaling>
        <c:delete val="1"/>
        <c:axPos val="l"/>
        <c:numFmt formatCode="General" sourceLinked="1"/>
        <c:majorTickMark val="none"/>
        <c:minorTickMark val="none"/>
        <c:tickLblPos val="nextTo"/>
        <c:crossAx val="3424431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(1).xlsx]Tables!PivotTable11</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438EA"/>
          </a:solidFill>
          <a:ln w="19050">
            <a:noFill/>
          </a:ln>
          <a:effectLst/>
        </c:spPr>
      </c:pivotFmt>
      <c:pivotFmt>
        <c:idx val="2"/>
        <c:spPr>
          <a:solidFill>
            <a:srgbClr val="7438EA">
              <a:alpha val="59000"/>
            </a:srgbClr>
          </a:solidFill>
          <a:ln w="19050">
            <a:noFill/>
          </a:ln>
          <a:effectLst/>
        </c:spPr>
      </c:pivotFmt>
      <c:pivotFmt>
        <c:idx val="3"/>
        <c:spPr>
          <a:solidFill>
            <a:srgbClr val="7438EA">
              <a:alpha val="23000"/>
            </a:srgbClr>
          </a:solidFill>
          <a:ln w="19050">
            <a:noFill/>
          </a:ln>
          <a:effectLst/>
        </c:spPr>
      </c:pivotFmt>
      <c:pivotFmt>
        <c:idx val="4"/>
        <c:spPr>
          <a:solidFill>
            <a:srgbClr val="B8BAF0"/>
          </a:solidFill>
          <a:ln w="19050">
            <a:noFill/>
          </a:ln>
          <a:effectLst/>
        </c:spPr>
      </c:pivotFmt>
      <c:pivotFmt>
        <c:idx val="5"/>
        <c:spPr>
          <a:solidFill>
            <a:srgbClr val="EAE9EE"/>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438EA">
              <a:alpha val="59000"/>
            </a:srgbClr>
          </a:solidFill>
          <a:ln w="19050">
            <a:noFill/>
          </a:ln>
          <a:effectLst/>
        </c:spPr>
      </c:pivotFmt>
      <c:pivotFmt>
        <c:idx val="8"/>
        <c:spPr>
          <a:solidFill>
            <a:srgbClr val="7438EA">
              <a:alpha val="23000"/>
            </a:srgbClr>
          </a:solidFill>
          <a:ln w="19050">
            <a:noFill/>
          </a:ln>
          <a:effectLst/>
        </c:spPr>
      </c:pivotFmt>
      <c:pivotFmt>
        <c:idx val="9"/>
        <c:spPr>
          <a:solidFill>
            <a:srgbClr val="B8BAF0"/>
          </a:solidFill>
          <a:ln w="19050">
            <a:noFill/>
          </a:ln>
          <a:effectLst/>
        </c:spPr>
      </c:pivotFmt>
      <c:pivotFmt>
        <c:idx val="10"/>
        <c:spPr>
          <a:solidFill>
            <a:srgbClr val="EAE9EE"/>
          </a:solidFill>
          <a:ln w="19050">
            <a:noFill/>
          </a:ln>
          <a:effectLst/>
        </c:spPr>
      </c:pivotFmt>
      <c:pivotFmt>
        <c:idx val="11"/>
        <c:spPr>
          <a:solidFill>
            <a:srgbClr val="7438EA"/>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438EA">
              <a:alpha val="59000"/>
            </a:srgbClr>
          </a:solidFill>
          <a:ln w="19050">
            <a:noFill/>
          </a:ln>
          <a:effectLst/>
        </c:spPr>
      </c:pivotFmt>
      <c:pivotFmt>
        <c:idx val="14"/>
        <c:spPr>
          <a:solidFill>
            <a:srgbClr val="7438EA">
              <a:alpha val="23000"/>
            </a:srgbClr>
          </a:solidFill>
          <a:ln w="19050">
            <a:noFill/>
          </a:ln>
          <a:effectLst/>
        </c:spPr>
      </c:pivotFmt>
      <c:pivotFmt>
        <c:idx val="15"/>
        <c:spPr>
          <a:solidFill>
            <a:srgbClr val="B8BAF0"/>
          </a:solidFill>
          <a:ln w="19050">
            <a:noFill/>
          </a:ln>
          <a:effectLst/>
        </c:spPr>
      </c:pivotFmt>
      <c:pivotFmt>
        <c:idx val="16"/>
        <c:spPr>
          <a:solidFill>
            <a:srgbClr val="EAE9EE"/>
          </a:solidFill>
          <a:ln w="19050">
            <a:noFill/>
          </a:ln>
          <a:effectLst/>
        </c:spPr>
      </c:pivotFmt>
      <c:pivotFmt>
        <c:idx val="17"/>
        <c:spPr>
          <a:solidFill>
            <a:srgbClr val="7438EA"/>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438EA">
              <a:alpha val="59000"/>
            </a:srgbClr>
          </a:solidFill>
          <a:ln w="19050">
            <a:noFill/>
          </a:ln>
          <a:effectLst/>
        </c:spPr>
      </c:pivotFmt>
      <c:pivotFmt>
        <c:idx val="20"/>
        <c:spPr>
          <a:solidFill>
            <a:srgbClr val="7438EA">
              <a:alpha val="23000"/>
            </a:srgbClr>
          </a:solidFill>
          <a:ln w="19050">
            <a:noFill/>
          </a:ln>
          <a:effectLst/>
        </c:spPr>
      </c:pivotFmt>
      <c:pivotFmt>
        <c:idx val="21"/>
        <c:spPr>
          <a:solidFill>
            <a:srgbClr val="B8BAF0"/>
          </a:solidFill>
          <a:ln w="19050">
            <a:noFill/>
          </a:ln>
          <a:effectLst/>
        </c:spPr>
      </c:pivotFmt>
      <c:pivotFmt>
        <c:idx val="22"/>
        <c:spPr>
          <a:solidFill>
            <a:srgbClr val="EAE9EE"/>
          </a:solidFill>
          <a:ln w="19050">
            <a:noFill/>
          </a:ln>
          <a:effectLst/>
        </c:spPr>
      </c:pivotFmt>
      <c:pivotFmt>
        <c:idx val="23"/>
        <c:spPr>
          <a:solidFill>
            <a:srgbClr val="7438EA"/>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438EA">
              <a:alpha val="59000"/>
            </a:srgbClr>
          </a:solidFill>
          <a:ln w="19050">
            <a:noFill/>
          </a:ln>
          <a:effectLst/>
        </c:spPr>
      </c:pivotFmt>
      <c:pivotFmt>
        <c:idx val="26"/>
        <c:spPr>
          <a:solidFill>
            <a:srgbClr val="7438EA">
              <a:alpha val="23000"/>
            </a:srgbClr>
          </a:solidFill>
          <a:ln w="19050">
            <a:noFill/>
          </a:ln>
          <a:effectLst/>
        </c:spPr>
      </c:pivotFmt>
      <c:pivotFmt>
        <c:idx val="27"/>
        <c:spPr>
          <a:solidFill>
            <a:srgbClr val="B8BAF0"/>
          </a:solidFill>
          <a:ln w="19050">
            <a:noFill/>
          </a:ln>
          <a:effectLst/>
        </c:spPr>
      </c:pivotFmt>
      <c:pivotFmt>
        <c:idx val="28"/>
        <c:spPr>
          <a:solidFill>
            <a:srgbClr val="EAE9EE"/>
          </a:solidFill>
          <a:ln w="19050">
            <a:noFill/>
          </a:ln>
          <a:effectLst/>
        </c:spPr>
      </c:pivotFmt>
      <c:pivotFmt>
        <c:idx val="29"/>
        <c:spPr>
          <a:solidFill>
            <a:srgbClr val="7438EA"/>
          </a:solidFill>
          <a:ln w="19050">
            <a:noFill/>
          </a:ln>
          <a:effectLst/>
        </c:spPr>
      </c:pivotFmt>
    </c:pivotFmts>
    <c:plotArea>
      <c:layout/>
      <c:doughnutChart>
        <c:varyColors val="1"/>
        <c:ser>
          <c:idx val="0"/>
          <c:order val="0"/>
          <c:tx>
            <c:strRef>
              <c:f>Tables!$G$23</c:f>
              <c:strCache>
                <c:ptCount val="1"/>
                <c:pt idx="0">
                  <c:v>Total</c:v>
                </c:pt>
              </c:strCache>
            </c:strRef>
          </c:tx>
          <c:spPr>
            <a:ln>
              <a:noFill/>
            </a:ln>
          </c:spPr>
          <c:dPt>
            <c:idx val="0"/>
            <c:bubble3D val="0"/>
            <c:spPr>
              <a:solidFill>
                <a:srgbClr val="7438EA">
                  <a:alpha val="59000"/>
                </a:srgbClr>
              </a:solidFill>
              <a:ln w="19050">
                <a:noFill/>
              </a:ln>
              <a:effectLst/>
            </c:spPr>
            <c:extLst>
              <c:ext xmlns:c16="http://schemas.microsoft.com/office/drawing/2014/chart" uri="{C3380CC4-5D6E-409C-BE32-E72D297353CC}">
                <c16:uniqueId val="{00000001-1A51-4BEC-926D-222AE79FF777}"/>
              </c:ext>
            </c:extLst>
          </c:dPt>
          <c:dPt>
            <c:idx val="1"/>
            <c:bubble3D val="0"/>
            <c:spPr>
              <a:solidFill>
                <a:srgbClr val="7438EA">
                  <a:alpha val="23000"/>
                </a:srgbClr>
              </a:solidFill>
              <a:ln w="19050">
                <a:noFill/>
              </a:ln>
              <a:effectLst/>
            </c:spPr>
            <c:extLst>
              <c:ext xmlns:c16="http://schemas.microsoft.com/office/drawing/2014/chart" uri="{C3380CC4-5D6E-409C-BE32-E72D297353CC}">
                <c16:uniqueId val="{00000003-1A51-4BEC-926D-222AE79FF777}"/>
              </c:ext>
            </c:extLst>
          </c:dPt>
          <c:dPt>
            <c:idx val="2"/>
            <c:bubble3D val="0"/>
            <c:spPr>
              <a:solidFill>
                <a:srgbClr val="B8BAF0"/>
              </a:solidFill>
              <a:ln w="19050">
                <a:noFill/>
              </a:ln>
              <a:effectLst/>
            </c:spPr>
            <c:extLst>
              <c:ext xmlns:c16="http://schemas.microsoft.com/office/drawing/2014/chart" uri="{C3380CC4-5D6E-409C-BE32-E72D297353CC}">
                <c16:uniqueId val="{00000005-1A51-4BEC-926D-222AE79FF777}"/>
              </c:ext>
            </c:extLst>
          </c:dPt>
          <c:dPt>
            <c:idx val="3"/>
            <c:bubble3D val="0"/>
            <c:spPr>
              <a:solidFill>
                <a:srgbClr val="EAE9EE"/>
              </a:solidFill>
              <a:ln w="19050">
                <a:noFill/>
              </a:ln>
              <a:effectLst/>
            </c:spPr>
            <c:extLst>
              <c:ext xmlns:c16="http://schemas.microsoft.com/office/drawing/2014/chart" uri="{C3380CC4-5D6E-409C-BE32-E72D297353CC}">
                <c16:uniqueId val="{00000007-1A51-4BEC-926D-222AE79FF777}"/>
              </c:ext>
            </c:extLst>
          </c:dPt>
          <c:dPt>
            <c:idx val="4"/>
            <c:bubble3D val="0"/>
            <c:spPr>
              <a:solidFill>
                <a:srgbClr val="7438EA"/>
              </a:solidFill>
              <a:ln w="19050">
                <a:noFill/>
              </a:ln>
              <a:effectLst/>
            </c:spPr>
            <c:extLst>
              <c:ext xmlns:c16="http://schemas.microsoft.com/office/drawing/2014/chart" uri="{C3380CC4-5D6E-409C-BE32-E72D297353CC}">
                <c16:uniqueId val="{00000009-1A51-4BEC-926D-222AE79FF777}"/>
              </c:ext>
            </c:extLst>
          </c:dPt>
          <c:cat>
            <c:strRef>
              <c:f>Tables!$F$24:$F$28</c:f>
              <c:strCache>
                <c:ptCount val="5"/>
                <c:pt idx="0">
                  <c:v>Headphones</c:v>
                </c:pt>
                <c:pt idx="1">
                  <c:v>Laptop</c:v>
                </c:pt>
                <c:pt idx="2">
                  <c:v>Monitor</c:v>
                </c:pt>
                <c:pt idx="3">
                  <c:v>Phone</c:v>
                </c:pt>
                <c:pt idx="4">
                  <c:v>Tablet</c:v>
                </c:pt>
              </c:strCache>
            </c:strRef>
          </c:cat>
          <c:val>
            <c:numRef>
              <c:f>Tables!$G$24:$G$28</c:f>
              <c:numCache>
                <c:formatCode>0.00%</c:formatCode>
                <c:ptCount val="5"/>
                <c:pt idx="0">
                  <c:v>0.18432377433222522</c:v>
                </c:pt>
                <c:pt idx="1">
                  <c:v>0.23074528107362116</c:v>
                </c:pt>
                <c:pt idx="2">
                  <c:v>0.1602685855121351</c:v>
                </c:pt>
                <c:pt idx="3">
                  <c:v>0.23496094330045672</c:v>
                </c:pt>
                <c:pt idx="4">
                  <c:v>0.18970141578156169</c:v>
                </c:pt>
              </c:numCache>
            </c:numRef>
          </c:val>
          <c:extLst>
            <c:ext xmlns:c16="http://schemas.microsoft.com/office/drawing/2014/chart" uri="{C3380CC4-5D6E-409C-BE32-E72D297353CC}">
              <c16:uniqueId val="{0000000A-1A51-4BEC-926D-222AE79FF777}"/>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r"/>
      <c:layout>
        <c:manualLayout>
          <c:xMode val="edge"/>
          <c:yMode val="edge"/>
          <c:x val="0.55607019145360348"/>
          <c:y val="0.1561753669680179"/>
          <c:w val="0.41160658307874903"/>
          <c:h val="0.68764848838339654"/>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chemeClr val="bg1">
                  <a:lumMod val="65000"/>
                </a:schemeClr>
              </a:solidFill>
              <a:latin typeface="Lucida Console" panose="020B0609040504020204" pitchFamily="49"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Records (1).xlsx]Tables!PivotTable12</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38EB"/>
          </a:solidFill>
          <a:ln w="19050">
            <a:noFill/>
          </a:ln>
          <a:effectLst/>
        </c:spPr>
      </c:pivotFmt>
      <c:pivotFmt>
        <c:idx val="2"/>
        <c:spPr>
          <a:solidFill>
            <a:srgbClr val="7538EB">
              <a:alpha val="42000"/>
            </a:srgbClr>
          </a:solidFill>
          <a:ln w="19050">
            <a:noFill/>
          </a:ln>
          <a:effectLst/>
        </c:spPr>
      </c:pivotFmt>
      <c:pivotFmt>
        <c:idx val="3"/>
        <c:spPr>
          <a:solidFill>
            <a:srgbClr val="7538EB">
              <a:alpha val="20000"/>
            </a:srgbClr>
          </a:solidFill>
          <a:ln w="19050">
            <a:noFill/>
          </a:ln>
          <a:effectLst/>
        </c:spPr>
      </c:pivotFmt>
      <c:pivotFmt>
        <c:idx val="4"/>
        <c:spPr>
          <a:solidFill>
            <a:srgbClr val="EAE9EE">
              <a:alpha val="44000"/>
            </a:srgb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38EB">
              <a:alpha val="20000"/>
            </a:srgbClr>
          </a:solidFill>
          <a:ln w="19050">
            <a:noFill/>
          </a:ln>
          <a:effectLst/>
        </c:spPr>
      </c:pivotFmt>
      <c:pivotFmt>
        <c:idx val="7"/>
        <c:spPr>
          <a:solidFill>
            <a:srgbClr val="EAE9EE">
              <a:alpha val="44000"/>
            </a:srgbClr>
          </a:solidFill>
          <a:ln w="19050">
            <a:noFill/>
          </a:ln>
          <a:effectLst/>
        </c:spPr>
      </c:pivotFmt>
      <c:pivotFmt>
        <c:idx val="8"/>
        <c:spPr>
          <a:solidFill>
            <a:srgbClr val="7538EB"/>
          </a:solidFill>
          <a:ln w="19050">
            <a:noFill/>
          </a:ln>
          <a:effectLst/>
        </c:spPr>
      </c:pivotFmt>
      <c:pivotFmt>
        <c:idx val="9"/>
        <c:spPr>
          <a:solidFill>
            <a:srgbClr val="7538EB">
              <a:alpha val="42000"/>
            </a:srgb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538EB">
              <a:alpha val="20000"/>
            </a:srgbClr>
          </a:solidFill>
          <a:ln w="19050">
            <a:noFill/>
          </a:ln>
          <a:effectLst/>
        </c:spPr>
      </c:pivotFmt>
      <c:pivotFmt>
        <c:idx val="12"/>
        <c:spPr>
          <a:solidFill>
            <a:srgbClr val="EAE9EE">
              <a:alpha val="44000"/>
            </a:srgbClr>
          </a:solidFill>
          <a:ln w="19050">
            <a:noFill/>
          </a:ln>
          <a:effectLst/>
        </c:spPr>
      </c:pivotFmt>
      <c:pivotFmt>
        <c:idx val="13"/>
        <c:spPr>
          <a:solidFill>
            <a:srgbClr val="7538EB"/>
          </a:solidFill>
          <a:ln w="19050">
            <a:noFill/>
          </a:ln>
          <a:effectLst/>
        </c:spPr>
      </c:pivotFmt>
      <c:pivotFmt>
        <c:idx val="14"/>
        <c:spPr>
          <a:solidFill>
            <a:srgbClr val="7538EB">
              <a:alpha val="42000"/>
            </a:srgbClr>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7538EB">
              <a:alpha val="20000"/>
            </a:srgbClr>
          </a:solidFill>
          <a:ln w="19050">
            <a:noFill/>
          </a:ln>
          <a:effectLst/>
        </c:spPr>
      </c:pivotFmt>
      <c:pivotFmt>
        <c:idx val="17"/>
        <c:spPr>
          <a:solidFill>
            <a:srgbClr val="EAE9EE">
              <a:alpha val="44000"/>
            </a:srgbClr>
          </a:solidFill>
          <a:ln w="19050">
            <a:noFill/>
          </a:ln>
          <a:effectLst/>
        </c:spPr>
      </c:pivotFmt>
      <c:pivotFmt>
        <c:idx val="18"/>
        <c:spPr>
          <a:solidFill>
            <a:srgbClr val="7538EB"/>
          </a:solidFill>
          <a:ln w="19050">
            <a:noFill/>
          </a:ln>
          <a:effectLst/>
        </c:spPr>
      </c:pivotFmt>
      <c:pivotFmt>
        <c:idx val="19"/>
        <c:spPr>
          <a:solidFill>
            <a:srgbClr val="7538EB">
              <a:alpha val="42000"/>
            </a:srgbClr>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7538EB">
              <a:alpha val="20000"/>
            </a:srgbClr>
          </a:solidFill>
          <a:ln w="19050">
            <a:noFill/>
          </a:ln>
          <a:effectLst/>
        </c:spPr>
      </c:pivotFmt>
      <c:pivotFmt>
        <c:idx val="22"/>
        <c:spPr>
          <a:solidFill>
            <a:srgbClr val="EAE9EE">
              <a:alpha val="44000"/>
            </a:srgbClr>
          </a:solidFill>
          <a:ln w="19050">
            <a:noFill/>
          </a:ln>
          <a:effectLst/>
        </c:spPr>
      </c:pivotFmt>
      <c:pivotFmt>
        <c:idx val="23"/>
        <c:spPr>
          <a:solidFill>
            <a:srgbClr val="7538EB"/>
          </a:solidFill>
          <a:ln w="19050">
            <a:noFill/>
          </a:ln>
          <a:effectLst/>
        </c:spPr>
      </c:pivotFmt>
      <c:pivotFmt>
        <c:idx val="24"/>
        <c:spPr>
          <a:solidFill>
            <a:srgbClr val="7538EB">
              <a:alpha val="42000"/>
            </a:srgbClr>
          </a:solidFill>
          <a:ln w="19050">
            <a:noFill/>
          </a:ln>
          <a:effectLst/>
        </c:spPr>
      </c:pivotFmt>
    </c:pivotFmts>
    <c:plotArea>
      <c:layout>
        <c:manualLayout>
          <c:layoutTarget val="inner"/>
          <c:xMode val="edge"/>
          <c:yMode val="edge"/>
          <c:x val="9.1123237502288956E-2"/>
          <c:y val="0.14168233831638671"/>
          <c:w val="0.4763571995361045"/>
          <c:h val="0.77735632550282086"/>
        </c:manualLayout>
      </c:layout>
      <c:doughnutChart>
        <c:varyColors val="1"/>
        <c:ser>
          <c:idx val="0"/>
          <c:order val="0"/>
          <c:tx>
            <c:strRef>
              <c:f>Tables!$K$23</c:f>
              <c:strCache>
                <c:ptCount val="1"/>
                <c:pt idx="0">
                  <c:v>Total</c:v>
                </c:pt>
              </c:strCache>
            </c:strRef>
          </c:tx>
          <c:spPr>
            <a:ln>
              <a:noFill/>
            </a:ln>
          </c:spPr>
          <c:dPt>
            <c:idx val="0"/>
            <c:bubble3D val="0"/>
            <c:spPr>
              <a:solidFill>
                <a:srgbClr val="7538EB">
                  <a:alpha val="20000"/>
                </a:srgbClr>
              </a:solidFill>
              <a:ln w="19050">
                <a:noFill/>
              </a:ln>
              <a:effectLst/>
            </c:spPr>
            <c:extLst>
              <c:ext xmlns:c16="http://schemas.microsoft.com/office/drawing/2014/chart" uri="{C3380CC4-5D6E-409C-BE32-E72D297353CC}">
                <c16:uniqueId val="{00000001-9964-4ED9-8917-8AE0CB6A8635}"/>
              </c:ext>
            </c:extLst>
          </c:dPt>
          <c:dPt>
            <c:idx val="1"/>
            <c:bubble3D val="0"/>
            <c:spPr>
              <a:solidFill>
                <a:srgbClr val="EAE9EE">
                  <a:alpha val="44000"/>
                </a:srgbClr>
              </a:solidFill>
              <a:ln w="19050">
                <a:noFill/>
              </a:ln>
              <a:effectLst/>
            </c:spPr>
            <c:extLst>
              <c:ext xmlns:c16="http://schemas.microsoft.com/office/drawing/2014/chart" uri="{C3380CC4-5D6E-409C-BE32-E72D297353CC}">
                <c16:uniqueId val="{00000003-9964-4ED9-8917-8AE0CB6A8635}"/>
              </c:ext>
            </c:extLst>
          </c:dPt>
          <c:dPt>
            <c:idx val="2"/>
            <c:bubble3D val="0"/>
            <c:spPr>
              <a:solidFill>
                <a:srgbClr val="7538EB"/>
              </a:solidFill>
              <a:ln w="19050">
                <a:noFill/>
              </a:ln>
              <a:effectLst/>
            </c:spPr>
            <c:extLst>
              <c:ext xmlns:c16="http://schemas.microsoft.com/office/drawing/2014/chart" uri="{C3380CC4-5D6E-409C-BE32-E72D297353CC}">
                <c16:uniqueId val="{00000005-9964-4ED9-8917-8AE0CB6A8635}"/>
              </c:ext>
            </c:extLst>
          </c:dPt>
          <c:dPt>
            <c:idx val="3"/>
            <c:bubble3D val="0"/>
            <c:spPr>
              <a:solidFill>
                <a:srgbClr val="7538EB">
                  <a:alpha val="42000"/>
                </a:srgbClr>
              </a:solidFill>
              <a:ln w="19050">
                <a:noFill/>
              </a:ln>
              <a:effectLst/>
            </c:spPr>
            <c:extLst>
              <c:ext xmlns:c16="http://schemas.microsoft.com/office/drawing/2014/chart" uri="{C3380CC4-5D6E-409C-BE32-E72D297353CC}">
                <c16:uniqueId val="{00000007-9964-4ED9-8917-8AE0CB6A8635}"/>
              </c:ext>
            </c:extLst>
          </c:dPt>
          <c:cat>
            <c:strRef>
              <c:f>Tables!$J$24:$J$27</c:f>
              <c:strCache>
                <c:ptCount val="4"/>
                <c:pt idx="0">
                  <c:v>Rep-A</c:v>
                </c:pt>
                <c:pt idx="1">
                  <c:v>Rep-B</c:v>
                </c:pt>
                <c:pt idx="2">
                  <c:v>Rep-C</c:v>
                </c:pt>
                <c:pt idx="3">
                  <c:v>Rep-D</c:v>
                </c:pt>
              </c:strCache>
            </c:strRef>
          </c:cat>
          <c:val>
            <c:numRef>
              <c:f>Tables!$K$24:$K$27</c:f>
              <c:numCache>
                <c:formatCode>0.00%</c:formatCode>
                <c:ptCount val="4"/>
                <c:pt idx="0">
                  <c:v>0.24706221243483803</c:v>
                </c:pt>
                <c:pt idx="1">
                  <c:v>0.27134449624214491</c:v>
                </c:pt>
                <c:pt idx="2">
                  <c:v>0.26416081929508667</c:v>
                </c:pt>
                <c:pt idx="3">
                  <c:v>0.21743247202793034</c:v>
                </c:pt>
              </c:numCache>
            </c:numRef>
          </c:val>
          <c:extLst>
            <c:ext xmlns:c16="http://schemas.microsoft.com/office/drawing/2014/chart" uri="{C3380CC4-5D6E-409C-BE32-E72D297353CC}">
              <c16:uniqueId val="{00000008-9964-4ED9-8917-8AE0CB6A8635}"/>
            </c:ext>
          </c:extLst>
        </c:ser>
        <c:dLbls>
          <c:showLegendKey val="0"/>
          <c:showVal val="0"/>
          <c:showCatName val="0"/>
          <c:showSerName val="0"/>
          <c:showPercent val="0"/>
          <c:showBubbleSize val="0"/>
          <c:showLeaderLines val="1"/>
        </c:dLbls>
        <c:firstSliceAng val="79"/>
        <c:holeSize val="80"/>
      </c:doughnutChart>
      <c:spPr>
        <a:noFill/>
        <a:ln>
          <a:noFill/>
        </a:ln>
        <a:effectLst/>
      </c:spPr>
    </c:plotArea>
    <c:legend>
      <c:legendPos val="r"/>
      <c:layout>
        <c:manualLayout>
          <c:xMode val="edge"/>
          <c:yMode val="edge"/>
          <c:x val="0.62139437221510097"/>
          <c:y val="0.18729640136423042"/>
          <c:w val="0.31659012390892999"/>
          <c:h val="0.64564753131673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JOTTING!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Cleaned Data'!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hase 5'!A1"/><Relationship Id="rId4" Type="http://schemas.openxmlformats.org/officeDocument/2006/relationships/hyperlink" Target="#Tables!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JOTTING!A1"/><Relationship Id="rId12" Type="http://schemas.openxmlformats.org/officeDocument/2006/relationships/image" Target="../media/image9.svg"/><Relationship Id="rId2" Type="http://schemas.openxmlformats.org/officeDocument/2006/relationships/image" Target="../media/image1.png"/><Relationship Id="rId1" Type="http://schemas.openxmlformats.org/officeDocument/2006/relationships/hyperlink" Target="#'Cleaned Data'!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hase 5'!A1"/><Relationship Id="rId4" Type="http://schemas.openxmlformats.org/officeDocument/2006/relationships/hyperlink" Target="#Tables!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JOTTING!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Cleaned Data'!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Phase 5'!A1"/><Relationship Id="rId4" Type="http://schemas.openxmlformats.org/officeDocument/2006/relationships/hyperlink" Target="#Tables!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15.svg"/><Relationship Id="rId5" Type="http://schemas.openxmlformats.org/officeDocument/2006/relationships/image" Target="../media/image14.png"/><Relationship Id="rId10" Type="http://schemas.openxmlformats.org/officeDocument/2006/relationships/image" Target="../media/image19.svg"/><Relationship Id="rId4" Type="http://schemas.openxmlformats.org/officeDocument/2006/relationships/image" Target="../media/image13.svg"/><Relationship Id="rId9"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5" Type="http://schemas.openxmlformats.org/officeDocument/2006/relationships/image" Target="../media/image16.png"/><Relationship Id="rId10" Type="http://schemas.openxmlformats.org/officeDocument/2006/relationships/image" Target="../media/image11.svg"/><Relationship Id="rId4" Type="http://schemas.openxmlformats.org/officeDocument/2006/relationships/image" Target="../media/image15.svg"/><Relationship Id="rId9"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2.png"/><Relationship Id="rId18" Type="http://schemas.openxmlformats.org/officeDocument/2006/relationships/image" Target="../media/image27.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1.svg"/><Relationship Id="rId17" Type="http://schemas.openxmlformats.org/officeDocument/2006/relationships/image" Target="../media/image26.png"/><Relationship Id="rId2" Type="http://schemas.openxmlformats.org/officeDocument/2006/relationships/image" Target="../media/image13.svg"/><Relationship Id="rId16" Type="http://schemas.openxmlformats.org/officeDocument/2006/relationships/image" Target="../media/image25.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0.png"/><Relationship Id="rId5" Type="http://schemas.openxmlformats.org/officeDocument/2006/relationships/image" Target="../media/image16.png"/><Relationship Id="rId15" Type="http://schemas.openxmlformats.org/officeDocument/2006/relationships/image" Target="../media/image24.png"/><Relationship Id="rId10" Type="http://schemas.openxmlformats.org/officeDocument/2006/relationships/image" Target="../media/image11.svg"/><Relationship Id="rId4" Type="http://schemas.openxmlformats.org/officeDocument/2006/relationships/image" Target="../media/image15.svg"/><Relationship Id="rId9" Type="http://schemas.openxmlformats.org/officeDocument/2006/relationships/image" Target="../media/image10.png"/><Relationship Id="rId14" Type="http://schemas.openxmlformats.org/officeDocument/2006/relationships/image" Target="../media/image23.svg"/></Relationships>
</file>

<file path=xl/drawings/_rels/drawing7.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24.png"/><Relationship Id="rId18" Type="http://schemas.openxmlformats.org/officeDocument/2006/relationships/chart" Target="../charts/chart2.xml"/><Relationship Id="rId3" Type="http://schemas.openxmlformats.org/officeDocument/2006/relationships/image" Target="../media/image16.png"/><Relationship Id="rId21" Type="http://schemas.openxmlformats.org/officeDocument/2006/relationships/chart" Target="../charts/chart5.xml"/><Relationship Id="rId7" Type="http://schemas.openxmlformats.org/officeDocument/2006/relationships/image" Target="../media/image10.png"/><Relationship Id="rId12" Type="http://schemas.openxmlformats.org/officeDocument/2006/relationships/image" Target="../media/image23.svg"/><Relationship Id="rId17" Type="http://schemas.openxmlformats.org/officeDocument/2006/relationships/chart" Target="../charts/chart1.xml"/><Relationship Id="rId2" Type="http://schemas.openxmlformats.org/officeDocument/2006/relationships/image" Target="../media/image13.svg"/><Relationship Id="rId16" Type="http://schemas.openxmlformats.org/officeDocument/2006/relationships/image" Target="../media/image27.svg"/><Relationship Id="rId20" Type="http://schemas.openxmlformats.org/officeDocument/2006/relationships/chart" Target="../charts/chart4.xml"/><Relationship Id="rId1" Type="http://schemas.openxmlformats.org/officeDocument/2006/relationships/image" Target="../media/image12.png"/><Relationship Id="rId6" Type="http://schemas.openxmlformats.org/officeDocument/2006/relationships/image" Target="../media/image19.svg"/><Relationship Id="rId11" Type="http://schemas.openxmlformats.org/officeDocument/2006/relationships/image" Target="../media/image22.png"/><Relationship Id="rId24" Type="http://schemas.openxmlformats.org/officeDocument/2006/relationships/image" Target="../media/image15.svg"/><Relationship Id="rId5" Type="http://schemas.openxmlformats.org/officeDocument/2006/relationships/image" Target="../media/image18.png"/><Relationship Id="rId15" Type="http://schemas.openxmlformats.org/officeDocument/2006/relationships/image" Target="../media/image26.png"/><Relationship Id="rId23" Type="http://schemas.openxmlformats.org/officeDocument/2006/relationships/image" Target="../media/image14.png"/><Relationship Id="rId10" Type="http://schemas.openxmlformats.org/officeDocument/2006/relationships/image" Target="../media/image21.svg"/><Relationship Id="rId19" Type="http://schemas.openxmlformats.org/officeDocument/2006/relationships/chart" Target="../charts/chart3.xml"/><Relationship Id="rId4" Type="http://schemas.openxmlformats.org/officeDocument/2006/relationships/image" Target="../media/image17.svg"/><Relationship Id="rId9" Type="http://schemas.openxmlformats.org/officeDocument/2006/relationships/image" Target="../media/image20.png"/><Relationship Id="rId14" Type="http://schemas.openxmlformats.org/officeDocument/2006/relationships/image" Target="../media/image25.svg"/><Relationship Id="rId22"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2.png"/><Relationship Id="rId18" Type="http://schemas.openxmlformats.org/officeDocument/2006/relationships/image" Target="../media/image27.svg"/><Relationship Id="rId26" Type="http://schemas.openxmlformats.org/officeDocument/2006/relationships/image" Target="../media/image14.png"/><Relationship Id="rId3" Type="http://schemas.openxmlformats.org/officeDocument/2006/relationships/image" Target="../media/image13.svg"/><Relationship Id="rId21" Type="http://schemas.openxmlformats.org/officeDocument/2006/relationships/chart" Target="../charts/chart9.xml"/><Relationship Id="rId7" Type="http://schemas.openxmlformats.org/officeDocument/2006/relationships/image" Target="../media/image18.png"/><Relationship Id="rId12" Type="http://schemas.openxmlformats.org/officeDocument/2006/relationships/image" Target="../media/image21.svg"/><Relationship Id="rId17" Type="http://schemas.openxmlformats.org/officeDocument/2006/relationships/image" Target="../media/image26.png"/><Relationship Id="rId25" Type="http://schemas.openxmlformats.org/officeDocument/2006/relationships/hyperlink" Target="#JOTTING!A1"/><Relationship Id="rId2" Type="http://schemas.openxmlformats.org/officeDocument/2006/relationships/image" Target="../media/image12.png"/><Relationship Id="rId16" Type="http://schemas.openxmlformats.org/officeDocument/2006/relationships/image" Target="../media/image25.svg"/><Relationship Id="rId20" Type="http://schemas.openxmlformats.org/officeDocument/2006/relationships/chart" Target="../charts/chart8.xml"/><Relationship Id="rId29" Type="http://schemas.openxmlformats.org/officeDocument/2006/relationships/image" Target="../media/image28.png"/><Relationship Id="rId1" Type="http://schemas.openxmlformats.org/officeDocument/2006/relationships/hyperlink" Target="#'Cleaned Data'!A1"/><Relationship Id="rId6" Type="http://schemas.openxmlformats.org/officeDocument/2006/relationships/image" Target="../media/image17.svg"/><Relationship Id="rId11" Type="http://schemas.openxmlformats.org/officeDocument/2006/relationships/image" Target="../media/image20.png"/><Relationship Id="rId24" Type="http://schemas.openxmlformats.org/officeDocument/2006/relationships/chart" Target="../charts/chart12.xml"/><Relationship Id="rId5" Type="http://schemas.openxmlformats.org/officeDocument/2006/relationships/image" Target="../media/image16.png"/><Relationship Id="rId15" Type="http://schemas.openxmlformats.org/officeDocument/2006/relationships/image" Target="../media/image24.png"/><Relationship Id="rId23" Type="http://schemas.openxmlformats.org/officeDocument/2006/relationships/chart" Target="../charts/chart11.xml"/><Relationship Id="rId28" Type="http://schemas.openxmlformats.org/officeDocument/2006/relationships/hyperlink" Target="#'Phase 5'!A1"/><Relationship Id="rId10" Type="http://schemas.openxmlformats.org/officeDocument/2006/relationships/image" Target="../media/image11.svg"/><Relationship Id="rId19" Type="http://schemas.openxmlformats.org/officeDocument/2006/relationships/chart" Target="../charts/chart7.xml"/><Relationship Id="rId4" Type="http://schemas.openxmlformats.org/officeDocument/2006/relationships/hyperlink" Target="#Tables!A1"/><Relationship Id="rId9" Type="http://schemas.openxmlformats.org/officeDocument/2006/relationships/image" Target="../media/image10.png"/><Relationship Id="rId14" Type="http://schemas.openxmlformats.org/officeDocument/2006/relationships/image" Target="../media/image23.svg"/><Relationship Id="rId22" Type="http://schemas.openxmlformats.org/officeDocument/2006/relationships/chart" Target="../charts/chart10.xml"/><Relationship Id="rId27" Type="http://schemas.openxmlformats.org/officeDocument/2006/relationships/image" Target="../media/image15.svg"/><Relationship Id="rId30" Type="http://schemas.openxmlformats.org/officeDocument/2006/relationships/image" Target="../media/image29.svg"/></Relationships>
</file>

<file path=xl/drawings/drawing1.xml><?xml version="1.0" encoding="utf-8"?>
<xdr:wsDr xmlns:xdr="http://schemas.openxmlformats.org/drawingml/2006/spreadsheetDrawing" xmlns:a="http://schemas.openxmlformats.org/drawingml/2006/main">
  <xdr:twoCellAnchor>
    <xdr:from>
      <xdr:col>0</xdr:col>
      <xdr:colOff>249116</xdr:colOff>
      <xdr:row>8</xdr:row>
      <xdr:rowOff>58616</xdr:rowOff>
    </xdr:from>
    <xdr:to>
      <xdr:col>1</xdr:col>
      <xdr:colOff>222006</xdr:colOff>
      <xdr:row>17</xdr:row>
      <xdr:rowOff>5025</xdr:rowOff>
    </xdr:to>
    <xdr:grpSp>
      <xdr:nvGrpSpPr>
        <xdr:cNvPr id="2" name="Group 1">
          <a:extLst>
            <a:ext uri="{FF2B5EF4-FFF2-40B4-BE49-F238E27FC236}">
              <a16:creationId xmlns:a16="http://schemas.microsoft.com/office/drawing/2014/main" id="{FCA2552A-86F4-458A-8D4C-9C14BC1934ED}"/>
            </a:ext>
          </a:extLst>
        </xdr:cNvPr>
        <xdr:cNvGrpSpPr/>
      </xdr:nvGrpSpPr>
      <xdr:grpSpPr>
        <a:xfrm>
          <a:off x="249116" y="1878949"/>
          <a:ext cx="586723" cy="1565659"/>
          <a:chOff x="171450" y="1138918"/>
          <a:chExt cx="581025" cy="1572986"/>
        </a:xfrm>
      </xdr:grpSpPr>
      <xdr:sp macro="" textlink="">
        <xdr:nvSpPr>
          <xdr:cNvPr id="3" name="Rectangle 2">
            <a:extLst>
              <a:ext uri="{FF2B5EF4-FFF2-40B4-BE49-F238E27FC236}">
                <a16:creationId xmlns:a16="http://schemas.microsoft.com/office/drawing/2014/main" id="{EB18594B-3224-878D-B5B6-5DC74B517F75}"/>
              </a:ext>
            </a:extLst>
          </xdr:cNvPr>
          <xdr:cNvSpPr/>
        </xdr:nvSpPr>
        <xdr:spPr>
          <a:xfrm>
            <a:off x="171450" y="1138918"/>
            <a:ext cx="581025" cy="1572986"/>
          </a:xfrm>
          <a:prstGeom prst="rect">
            <a:avLst/>
          </a:prstGeom>
          <a:solidFill>
            <a:srgbClr val="7538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descr="Database">
            <a:hlinkClick xmlns:r="http://schemas.openxmlformats.org/officeDocument/2006/relationships" r:id="rId1"/>
            <a:extLst>
              <a:ext uri="{FF2B5EF4-FFF2-40B4-BE49-F238E27FC236}">
                <a16:creationId xmlns:a16="http://schemas.microsoft.com/office/drawing/2014/main" id="{59979217-C7D7-AFD4-BA1E-C910FEC562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3375" y="1625763"/>
            <a:ext cx="321470" cy="310298"/>
          </a:xfrm>
          <a:prstGeom prst="rect">
            <a:avLst/>
          </a:prstGeom>
        </xdr:spPr>
      </xdr:pic>
      <xdr:pic>
        <xdr:nvPicPr>
          <xdr:cNvPr id="5" name="Graphic 4" descr="Presentation with pie chart">
            <a:hlinkClick xmlns:r="http://schemas.openxmlformats.org/officeDocument/2006/relationships" r:id="rId4"/>
            <a:extLst>
              <a:ext uri="{FF2B5EF4-FFF2-40B4-BE49-F238E27FC236}">
                <a16:creationId xmlns:a16="http://schemas.microsoft.com/office/drawing/2014/main" id="{3BE371BA-A528-6956-4289-3BE7195E19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3173" y="2361604"/>
            <a:ext cx="319766" cy="313602"/>
          </a:xfrm>
          <a:prstGeom prst="rect">
            <a:avLst/>
          </a:prstGeom>
        </xdr:spPr>
      </xdr:pic>
      <xdr:pic>
        <xdr:nvPicPr>
          <xdr:cNvPr id="6" name="Graphic 5" descr="Clipboard">
            <a:hlinkClick xmlns:r="http://schemas.openxmlformats.org/officeDocument/2006/relationships" r:id="rId7"/>
            <a:extLst>
              <a:ext uri="{FF2B5EF4-FFF2-40B4-BE49-F238E27FC236}">
                <a16:creationId xmlns:a16="http://schemas.microsoft.com/office/drawing/2014/main" id="{3561307E-54D2-2283-3000-580EA554E32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9210" y="1997710"/>
            <a:ext cx="267449" cy="261913"/>
          </a:xfrm>
          <a:prstGeom prst="rect">
            <a:avLst/>
          </a:prstGeom>
        </xdr:spPr>
      </xdr:pic>
      <xdr:pic>
        <xdr:nvPicPr>
          <xdr:cNvPr id="7" name="Graphic 6" descr="Teacher">
            <a:hlinkClick xmlns:r="http://schemas.openxmlformats.org/officeDocument/2006/relationships" r:id="rId10"/>
            <a:extLst>
              <a:ext uri="{FF2B5EF4-FFF2-40B4-BE49-F238E27FC236}">
                <a16:creationId xmlns:a16="http://schemas.microsoft.com/office/drawing/2014/main" id="{AED1EDBD-9ABC-FB02-4847-63C1BE5725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5750" y="1254579"/>
            <a:ext cx="381000" cy="371188"/>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5</xdr:row>
      <xdr:rowOff>142875</xdr:rowOff>
    </xdr:from>
    <xdr:to>
      <xdr:col>0</xdr:col>
      <xdr:colOff>752475</xdr:colOff>
      <xdr:row>13</xdr:row>
      <xdr:rowOff>104775</xdr:rowOff>
    </xdr:to>
    <xdr:grpSp>
      <xdr:nvGrpSpPr>
        <xdr:cNvPr id="11" name="Group 10">
          <a:extLst>
            <a:ext uri="{FF2B5EF4-FFF2-40B4-BE49-F238E27FC236}">
              <a16:creationId xmlns:a16="http://schemas.microsoft.com/office/drawing/2014/main" id="{726C22C9-01C5-67C5-949D-08BD5ED6F45B}"/>
            </a:ext>
          </a:extLst>
        </xdr:cNvPr>
        <xdr:cNvGrpSpPr/>
      </xdr:nvGrpSpPr>
      <xdr:grpSpPr>
        <a:xfrm>
          <a:off x="171450" y="1133475"/>
          <a:ext cx="581025" cy="1562100"/>
          <a:chOff x="171450" y="1138918"/>
          <a:chExt cx="581025" cy="1572986"/>
        </a:xfrm>
      </xdr:grpSpPr>
      <xdr:sp macro="" textlink="">
        <xdr:nvSpPr>
          <xdr:cNvPr id="6" name="Rectangle 5">
            <a:extLst>
              <a:ext uri="{FF2B5EF4-FFF2-40B4-BE49-F238E27FC236}">
                <a16:creationId xmlns:a16="http://schemas.microsoft.com/office/drawing/2014/main" id="{A9C7EDE3-F661-E210-7D1D-40A4AEC3144D}"/>
              </a:ext>
            </a:extLst>
          </xdr:cNvPr>
          <xdr:cNvSpPr/>
        </xdr:nvSpPr>
        <xdr:spPr>
          <a:xfrm>
            <a:off x="171450" y="1138918"/>
            <a:ext cx="581025" cy="1572986"/>
          </a:xfrm>
          <a:prstGeom prst="rect">
            <a:avLst/>
          </a:prstGeom>
          <a:solidFill>
            <a:srgbClr val="7538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 name="Graphic 1" descr="Database">
            <a:hlinkClick xmlns:r="http://schemas.openxmlformats.org/officeDocument/2006/relationships" r:id="rId1"/>
            <a:extLst>
              <a:ext uri="{FF2B5EF4-FFF2-40B4-BE49-F238E27FC236}">
                <a16:creationId xmlns:a16="http://schemas.microsoft.com/office/drawing/2014/main" id="{85429801-3B37-4647-A6CB-2969DAAF3E9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3375" y="1625763"/>
            <a:ext cx="321470" cy="310298"/>
          </a:xfrm>
          <a:prstGeom prst="rect">
            <a:avLst/>
          </a:prstGeom>
        </xdr:spPr>
      </xdr:pic>
      <xdr:pic>
        <xdr:nvPicPr>
          <xdr:cNvPr id="3" name="Graphic 2" descr="Presentation with pie chart">
            <a:hlinkClick xmlns:r="http://schemas.openxmlformats.org/officeDocument/2006/relationships" r:id="rId4"/>
            <a:extLst>
              <a:ext uri="{FF2B5EF4-FFF2-40B4-BE49-F238E27FC236}">
                <a16:creationId xmlns:a16="http://schemas.microsoft.com/office/drawing/2014/main" id="{2B1BBACA-1419-4127-93D3-25310D5FA1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3173" y="2361604"/>
            <a:ext cx="319766" cy="313602"/>
          </a:xfrm>
          <a:prstGeom prst="rect">
            <a:avLst/>
          </a:prstGeom>
        </xdr:spPr>
      </xdr:pic>
      <xdr:pic>
        <xdr:nvPicPr>
          <xdr:cNvPr id="4" name="Graphic 3" descr="Clipboard">
            <a:hlinkClick xmlns:r="http://schemas.openxmlformats.org/officeDocument/2006/relationships" r:id="rId7"/>
            <a:extLst>
              <a:ext uri="{FF2B5EF4-FFF2-40B4-BE49-F238E27FC236}">
                <a16:creationId xmlns:a16="http://schemas.microsoft.com/office/drawing/2014/main" id="{38E6A71A-9C90-40F7-8D49-E2BFA88D30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9210" y="1997710"/>
            <a:ext cx="267449" cy="261913"/>
          </a:xfrm>
          <a:prstGeom prst="rect">
            <a:avLst/>
          </a:prstGeom>
        </xdr:spPr>
      </xdr:pic>
      <xdr:pic>
        <xdr:nvPicPr>
          <xdr:cNvPr id="5" name="Graphic 4" descr="Teacher">
            <a:hlinkClick xmlns:r="http://schemas.openxmlformats.org/officeDocument/2006/relationships" r:id="rId10"/>
            <a:extLst>
              <a:ext uri="{FF2B5EF4-FFF2-40B4-BE49-F238E27FC236}">
                <a16:creationId xmlns:a16="http://schemas.microsoft.com/office/drawing/2014/main" id="{87C8EE4C-A2FE-4E73-88C2-96C69D03A8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5750" y="1254579"/>
            <a:ext cx="381000" cy="371188"/>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356152</xdr:colOff>
      <xdr:row>8</xdr:row>
      <xdr:rowOff>132523</xdr:rowOff>
    </xdr:from>
    <xdr:to>
      <xdr:col>1</xdr:col>
      <xdr:colOff>324264</xdr:colOff>
      <xdr:row>18</xdr:row>
      <xdr:rowOff>48987</xdr:rowOff>
    </xdr:to>
    <xdr:grpSp>
      <xdr:nvGrpSpPr>
        <xdr:cNvPr id="2" name="Group 1">
          <a:extLst>
            <a:ext uri="{FF2B5EF4-FFF2-40B4-BE49-F238E27FC236}">
              <a16:creationId xmlns:a16="http://schemas.microsoft.com/office/drawing/2014/main" id="{6CADBA4A-50CE-487C-8240-BA5906330B1F}"/>
            </a:ext>
          </a:extLst>
        </xdr:cNvPr>
        <xdr:cNvGrpSpPr/>
      </xdr:nvGrpSpPr>
      <xdr:grpSpPr>
        <a:xfrm>
          <a:off x="356152" y="1427923"/>
          <a:ext cx="577712" cy="1535714"/>
          <a:chOff x="171450" y="1138918"/>
          <a:chExt cx="581025" cy="1572986"/>
        </a:xfrm>
      </xdr:grpSpPr>
      <xdr:sp macro="" textlink="">
        <xdr:nvSpPr>
          <xdr:cNvPr id="3" name="Rectangle 2">
            <a:extLst>
              <a:ext uri="{FF2B5EF4-FFF2-40B4-BE49-F238E27FC236}">
                <a16:creationId xmlns:a16="http://schemas.microsoft.com/office/drawing/2014/main" id="{1398F0C7-33A6-CEAE-3C33-F7506BB38C72}"/>
              </a:ext>
            </a:extLst>
          </xdr:cNvPr>
          <xdr:cNvSpPr/>
        </xdr:nvSpPr>
        <xdr:spPr>
          <a:xfrm>
            <a:off x="171450" y="1138918"/>
            <a:ext cx="581025" cy="1572986"/>
          </a:xfrm>
          <a:prstGeom prst="rect">
            <a:avLst/>
          </a:prstGeom>
          <a:solidFill>
            <a:srgbClr val="7538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descr="Database">
            <a:hlinkClick xmlns:r="http://schemas.openxmlformats.org/officeDocument/2006/relationships" r:id="rId1"/>
            <a:extLst>
              <a:ext uri="{FF2B5EF4-FFF2-40B4-BE49-F238E27FC236}">
                <a16:creationId xmlns:a16="http://schemas.microsoft.com/office/drawing/2014/main" id="{A3FF7A0D-5721-3629-FE70-0F7B8BBB4F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3375" y="1625763"/>
            <a:ext cx="321470" cy="310298"/>
          </a:xfrm>
          <a:prstGeom prst="rect">
            <a:avLst/>
          </a:prstGeom>
        </xdr:spPr>
      </xdr:pic>
      <xdr:pic>
        <xdr:nvPicPr>
          <xdr:cNvPr id="5" name="Graphic 4" descr="Presentation with pie chart">
            <a:hlinkClick xmlns:r="http://schemas.openxmlformats.org/officeDocument/2006/relationships" r:id="rId4"/>
            <a:extLst>
              <a:ext uri="{FF2B5EF4-FFF2-40B4-BE49-F238E27FC236}">
                <a16:creationId xmlns:a16="http://schemas.microsoft.com/office/drawing/2014/main" id="{07FBBC3A-A62B-2910-0113-F45DA62A3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3173" y="2361604"/>
            <a:ext cx="319766" cy="313602"/>
          </a:xfrm>
          <a:prstGeom prst="rect">
            <a:avLst/>
          </a:prstGeom>
        </xdr:spPr>
      </xdr:pic>
      <xdr:pic>
        <xdr:nvPicPr>
          <xdr:cNvPr id="6" name="Graphic 5" descr="Clipboard">
            <a:hlinkClick xmlns:r="http://schemas.openxmlformats.org/officeDocument/2006/relationships" r:id="rId7"/>
            <a:extLst>
              <a:ext uri="{FF2B5EF4-FFF2-40B4-BE49-F238E27FC236}">
                <a16:creationId xmlns:a16="http://schemas.microsoft.com/office/drawing/2014/main" id="{0290A665-BE12-8E5A-AA5D-5DFF600BCE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9210" y="1997710"/>
            <a:ext cx="267449" cy="261913"/>
          </a:xfrm>
          <a:prstGeom prst="rect">
            <a:avLst/>
          </a:prstGeom>
        </xdr:spPr>
      </xdr:pic>
      <xdr:pic>
        <xdr:nvPicPr>
          <xdr:cNvPr id="7" name="Graphic 6" descr="Teacher">
            <a:hlinkClick xmlns:r="http://schemas.openxmlformats.org/officeDocument/2006/relationships" r:id="rId10"/>
            <a:extLst>
              <a:ext uri="{FF2B5EF4-FFF2-40B4-BE49-F238E27FC236}">
                <a16:creationId xmlns:a16="http://schemas.microsoft.com/office/drawing/2014/main" id="{CCB1DAAD-BCD2-282D-CF0E-3DEA5B14C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5750" y="1254579"/>
            <a:ext cx="381000" cy="371188"/>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376237</xdr:colOff>
      <xdr:row>1</xdr:row>
      <xdr:rowOff>95248</xdr:rowOff>
    </xdr:from>
    <xdr:to>
      <xdr:col>19</xdr:col>
      <xdr:colOff>535781</xdr:colOff>
      <xdr:row>35</xdr:row>
      <xdr:rowOff>166686</xdr:rowOff>
    </xdr:to>
    <xdr:sp macro="" textlink="">
      <xdr:nvSpPr>
        <xdr:cNvPr id="2" name="Rectangle 1">
          <a:extLst>
            <a:ext uri="{FF2B5EF4-FFF2-40B4-BE49-F238E27FC236}">
              <a16:creationId xmlns:a16="http://schemas.microsoft.com/office/drawing/2014/main" id="{83DAE7CD-B52E-430A-A7D7-40021C8AAF1E}"/>
            </a:ext>
          </a:extLst>
        </xdr:cNvPr>
        <xdr:cNvSpPr/>
      </xdr:nvSpPr>
      <xdr:spPr>
        <a:xfrm>
          <a:off x="4643437" y="257173"/>
          <a:ext cx="7474744" cy="5576888"/>
        </a:xfrm>
        <a:prstGeom prst="rect">
          <a:avLst/>
        </a:prstGeom>
        <a:solidFill>
          <a:srgbClr val="EAE9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1</xdr:row>
      <xdr:rowOff>92867</xdr:rowOff>
    </xdr:from>
    <xdr:to>
      <xdr:col>7</xdr:col>
      <xdr:colOff>369095</xdr:colOff>
      <xdr:row>35</xdr:row>
      <xdr:rowOff>164305</xdr:rowOff>
    </xdr:to>
    <xdr:sp macro="" textlink="">
      <xdr:nvSpPr>
        <xdr:cNvPr id="3" name="Rectangle 2">
          <a:extLst>
            <a:ext uri="{FF2B5EF4-FFF2-40B4-BE49-F238E27FC236}">
              <a16:creationId xmlns:a16="http://schemas.microsoft.com/office/drawing/2014/main" id="{F29332B9-ED34-4FC6-9EA3-DF348B96F8A5}"/>
            </a:ext>
          </a:extLst>
        </xdr:cNvPr>
        <xdr:cNvSpPr/>
      </xdr:nvSpPr>
      <xdr:spPr>
        <a:xfrm>
          <a:off x="3524250" y="254792"/>
          <a:ext cx="1112045" cy="557688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373856</xdr:colOff>
      <xdr:row>1</xdr:row>
      <xdr:rowOff>92867</xdr:rowOff>
    </xdr:from>
    <xdr:to>
      <xdr:col>19</xdr:col>
      <xdr:colOff>533400</xdr:colOff>
      <xdr:row>7</xdr:row>
      <xdr:rowOff>47625</xdr:rowOff>
    </xdr:to>
    <xdr:sp macro="" textlink="">
      <xdr:nvSpPr>
        <xdr:cNvPr id="4" name="Rectangle 3">
          <a:extLst>
            <a:ext uri="{FF2B5EF4-FFF2-40B4-BE49-F238E27FC236}">
              <a16:creationId xmlns:a16="http://schemas.microsoft.com/office/drawing/2014/main" id="{2E641411-6E34-4305-9250-1D39D27ECA3E}"/>
            </a:ext>
          </a:extLst>
        </xdr:cNvPr>
        <xdr:cNvSpPr/>
      </xdr:nvSpPr>
      <xdr:spPr>
        <a:xfrm>
          <a:off x="4641056" y="254792"/>
          <a:ext cx="7474744" cy="926308"/>
        </a:xfrm>
        <a:prstGeom prst="rect">
          <a:avLst/>
        </a:prstGeom>
        <a:solidFill>
          <a:srgbClr val="7538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428625</xdr:colOff>
      <xdr:row>19</xdr:row>
      <xdr:rowOff>9530</xdr:rowOff>
    </xdr:from>
    <xdr:to>
      <xdr:col>19</xdr:col>
      <xdr:colOff>178593</xdr:colOff>
      <xdr:row>22</xdr:row>
      <xdr:rowOff>142876</xdr:rowOff>
    </xdr:to>
    <xdr:grpSp>
      <xdr:nvGrpSpPr>
        <xdr:cNvPr id="5" name="Group 4">
          <a:extLst>
            <a:ext uri="{FF2B5EF4-FFF2-40B4-BE49-F238E27FC236}">
              <a16:creationId xmlns:a16="http://schemas.microsoft.com/office/drawing/2014/main" id="{F90095CB-3298-4487-8CD1-8D7F897F4888}"/>
            </a:ext>
          </a:extLst>
        </xdr:cNvPr>
        <xdr:cNvGrpSpPr/>
      </xdr:nvGrpSpPr>
      <xdr:grpSpPr>
        <a:xfrm>
          <a:off x="9536906" y="3176593"/>
          <a:ext cx="2178843" cy="633408"/>
          <a:chOff x="8001003" y="2069310"/>
          <a:chExt cx="2591834" cy="633407"/>
        </a:xfrm>
      </xdr:grpSpPr>
      <xdr:sp macro="" textlink="">
        <xdr:nvSpPr>
          <xdr:cNvPr id="6" name="Rectangle: Top Corners Rounded 5">
            <a:extLst>
              <a:ext uri="{FF2B5EF4-FFF2-40B4-BE49-F238E27FC236}">
                <a16:creationId xmlns:a16="http://schemas.microsoft.com/office/drawing/2014/main" id="{A5A4B4ED-459A-70D3-79D2-53EA27B64E13}"/>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4B667CA9-51E8-32E5-8735-F04D8F1F9035}"/>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xdr:colOff>
      <xdr:row>8</xdr:row>
      <xdr:rowOff>46433</xdr:rowOff>
    </xdr:from>
    <xdr:to>
      <xdr:col>13</xdr:col>
      <xdr:colOff>285750</xdr:colOff>
      <xdr:row>18</xdr:row>
      <xdr:rowOff>46434</xdr:rowOff>
    </xdr:to>
    <xdr:sp macro="" textlink="">
      <xdr:nvSpPr>
        <xdr:cNvPr id="8" name="Rectangle: Rounded Corners 7">
          <a:extLst>
            <a:ext uri="{FF2B5EF4-FFF2-40B4-BE49-F238E27FC236}">
              <a16:creationId xmlns:a16="http://schemas.microsoft.com/office/drawing/2014/main" id="{74A7663D-EC00-449C-92C8-9E8671EDA729}"/>
            </a:ext>
          </a:extLst>
        </xdr:cNvPr>
        <xdr:cNvSpPr/>
      </xdr:nvSpPr>
      <xdr:spPr>
        <a:xfrm>
          <a:off x="4888706" y="1341833"/>
          <a:ext cx="3321844"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521493</xdr:colOff>
      <xdr:row>8</xdr:row>
      <xdr:rowOff>46433</xdr:rowOff>
    </xdr:from>
    <xdr:to>
      <xdr:col>19</xdr:col>
      <xdr:colOff>188119</xdr:colOff>
      <xdr:row>18</xdr:row>
      <xdr:rowOff>46434</xdr:rowOff>
    </xdr:to>
    <xdr:sp macro="" textlink="">
      <xdr:nvSpPr>
        <xdr:cNvPr id="9" name="Rectangle: Rounded Corners 8">
          <a:extLst>
            <a:ext uri="{FF2B5EF4-FFF2-40B4-BE49-F238E27FC236}">
              <a16:creationId xmlns:a16="http://schemas.microsoft.com/office/drawing/2014/main" id="{8C481D71-B034-45CC-85C0-4DAD1BE84AF2}"/>
            </a:ext>
          </a:extLst>
        </xdr:cNvPr>
        <xdr:cNvSpPr/>
      </xdr:nvSpPr>
      <xdr:spPr>
        <a:xfrm>
          <a:off x="8446293" y="1341833"/>
          <a:ext cx="3324226"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560325</xdr:colOff>
      <xdr:row>18</xdr:row>
      <xdr:rowOff>166226</xdr:rowOff>
    </xdr:from>
    <xdr:to>
      <xdr:col>15</xdr:col>
      <xdr:colOff>265051</xdr:colOff>
      <xdr:row>27</xdr:row>
      <xdr:rowOff>11907</xdr:rowOff>
    </xdr:to>
    <xdr:sp macro="" textlink="">
      <xdr:nvSpPr>
        <xdr:cNvPr id="10" name="Rectangle: Rounded Corners 9">
          <a:extLst>
            <a:ext uri="{FF2B5EF4-FFF2-40B4-BE49-F238E27FC236}">
              <a16:creationId xmlns:a16="http://schemas.microsoft.com/office/drawing/2014/main" id="{E23C017B-51DA-4E52-9B21-10A0D28D2DA8}"/>
            </a:ext>
          </a:extLst>
        </xdr:cNvPr>
        <xdr:cNvSpPr/>
      </xdr:nvSpPr>
      <xdr:spPr>
        <a:xfrm>
          <a:off x="7265925" y="3080876"/>
          <a:ext cx="2143126"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23</xdr:row>
      <xdr:rowOff>30961</xdr:rowOff>
    </xdr:from>
    <xdr:to>
      <xdr:col>19</xdr:col>
      <xdr:colOff>188118</xdr:colOff>
      <xdr:row>27</xdr:row>
      <xdr:rowOff>3115</xdr:rowOff>
    </xdr:to>
    <xdr:grpSp>
      <xdr:nvGrpSpPr>
        <xdr:cNvPr id="11" name="Group 10">
          <a:extLst>
            <a:ext uri="{FF2B5EF4-FFF2-40B4-BE49-F238E27FC236}">
              <a16:creationId xmlns:a16="http://schemas.microsoft.com/office/drawing/2014/main" id="{F92B6B06-710A-406D-9D7D-C2E2A56EC68C}"/>
            </a:ext>
          </a:extLst>
        </xdr:cNvPr>
        <xdr:cNvGrpSpPr/>
      </xdr:nvGrpSpPr>
      <xdr:grpSpPr>
        <a:xfrm>
          <a:off x="9546431" y="3864774"/>
          <a:ext cx="2178843" cy="638904"/>
          <a:chOff x="8001003" y="2069310"/>
          <a:chExt cx="2591834" cy="633407"/>
        </a:xfrm>
      </xdr:grpSpPr>
      <xdr:sp macro="" textlink="">
        <xdr:nvSpPr>
          <xdr:cNvPr id="12" name="Rectangle: Top Corners Rounded 11">
            <a:extLst>
              <a:ext uri="{FF2B5EF4-FFF2-40B4-BE49-F238E27FC236}">
                <a16:creationId xmlns:a16="http://schemas.microsoft.com/office/drawing/2014/main" id="{195C0E46-1125-3C28-C910-68372A3B3058}"/>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FB0235BB-60DD-FBEE-9BDF-9306843B8313}"/>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435768</xdr:colOff>
      <xdr:row>27</xdr:row>
      <xdr:rowOff>52393</xdr:rowOff>
    </xdr:from>
    <xdr:to>
      <xdr:col>19</xdr:col>
      <xdr:colOff>185736</xdr:colOff>
      <xdr:row>31</xdr:row>
      <xdr:rowOff>19051</xdr:rowOff>
    </xdr:to>
    <xdr:grpSp>
      <xdr:nvGrpSpPr>
        <xdr:cNvPr id="14" name="Group 13">
          <a:extLst>
            <a:ext uri="{FF2B5EF4-FFF2-40B4-BE49-F238E27FC236}">
              <a16:creationId xmlns:a16="http://schemas.microsoft.com/office/drawing/2014/main" id="{773383E5-664D-4A3A-ABAC-77679C3D5C67}"/>
            </a:ext>
          </a:extLst>
        </xdr:cNvPr>
        <xdr:cNvGrpSpPr/>
      </xdr:nvGrpSpPr>
      <xdr:grpSpPr>
        <a:xfrm>
          <a:off x="9544049" y="4552956"/>
          <a:ext cx="2178843" cy="633408"/>
          <a:chOff x="8001003" y="2069310"/>
          <a:chExt cx="2591834" cy="633407"/>
        </a:xfrm>
      </xdr:grpSpPr>
      <xdr:sp macro="" textlink="">
        <xdr:nvSpPr>
          <xdr:cNvPr id="15" name="Rectangle: Top Corners Rounded 14">
            <a:extLst>
              <a:ext uri="{FF2B5EF4-FFF2-40B4-BE49-F238E27FC236}">
                <a16:creationId xmlns:a16="http://schemas.microsoft.com/office/drawing/2014/main" id="{EE3BB05A-2DF9-B9CE-BA55-2BA2424B3F61}"/>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EBF61AD3-FA25-6F1A-7653-62FECA4628C5}"/>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445293</xdr:colOff>
      <xdr:row>31</xdr:row>
      <xdr:rowOff>73824</xdr:rowOff>
    </xdr:from>
    <xdr:to>
      <xdr:col>19</xdr:col>
      <xdr:colOff>195261</xdr:colOff>
      <xdr:row>35</xdr:row>
      <xdr:rowOff>40482</xdr:rowOff>
    </xdr:to>
    <xdr:grpSp>
      <xdr:nvGrpSpPr>
        <xdr:cNvPr id="17" name="Group 16">
          <a:extLst>
            <a:ext uri="{FF2B5EF4-FFF2-40B4-BE49-F238E27FC236}">
              <a16:creationId xmlns:a16="http://schemas.microsoft.com/office/drawing/2014/main" id="{F71D1614-7EBE-442F-A6DC-B305D1295F33}"/>
            </a:ext>
          </a:extLst>
        </xdr:cNvPr>
        <xdr:cNvGrpSpPr/>
      </xdr:nvGrpSpPr>
      <xdr:grpSpPr>
        <a:xfrm>
          <a:off x="9553574" y="5241137"/>
          <a:ext cx="2178843" cy="633408"/>
          <a:chOff x="8001003" y="2069310"/>
          <a:chExt cx="2591834" cy="633407"/>
        </a:xfrm>
      </xdr:grpSpPr>
      <xdr:sp macro="" textlink="">
        <xdr:nvSpPr>
          <xdr:cNvPr id="18" name="Rectangle: Top Corners Rounded 17">
            <a:extLst>
              <a:ext uri="{FF2B5EF4-FFF2-40B4-BE49-F238E27FC236}">
                <a16:creationId xmlns:a16="http://schemas.microsoft.com/office/drawing/2014/main" id="{EB402013-45F5-3F3A-C9C1-24A8D63303A3}"/>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Top Corners Rounded 18">
            <a:extLst>
              <a:ext uri="{FF2B5EF4-FFF2-40B4-BE49-F238E27FC236}">
                <a16:creationId xmlns:a16="http://schemas.microsoft.com/office/drawing/2014/main" id="{3D328BB4-D58F-D52A-81BC-A656CEE63986}"/>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22162</xdr:colOff>
      <xdr:row>18</xdr:row>
      <xdr:rowOff>163845</xdr:rowOff>
    </xdr:from>
    <xdr:to>
      <xdr:col>11</xdr:col>
      <xdr:colOff>440531</xdr:colOff>
      <xdr:row>27</xdr:row>
      <xdr:rowOff>9526</xdr:rowOff>
    </xdr:to>
    <xdr:sp macro="" textlink="">
      <xdr:nvSpPr>
        <xdr:cNvPr id="20" name="Rectangle: Rounded Corners 19">
          <a:extLst>
            <a:ext uri="{FF2B5EF4-FFF2-40B4-BE49-F238E27FC236}">
              <a16:creationId xmlns:a16="http://schemas.microsoft.com/office/drawing/2014/main" id="{59697643-C63A-477C-B015-C3C4685CD587}"/>
            </a:ext>
          </a:extLst>
        </xdr:cNvPr>
        <xdr:cNvSpPr/>
      </xdr:nvSpPr>
      <xdr:spPr>
        <a:xfrm>
          <a:off x="4898962" y="3078495"/>
          <a:ext cx="2247169"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7874</xdr:colOff>
      <xdr:row>27</xdr:row>
      <xdr:rowOff>54306</xdr:rowOff>
    </xdr:from>
    <xdr:to>
      <xdr:col>11</xdr:col>
      <xdr:colOff>440531</xdr:colOff>
      <xdr:row>35</xdr:row>
      <xdr:rowOff>47624</xdr:rowOff>
    </xdr:to>
    <xdr:sp macro="" textlink="">
      <xdr:nvSpPr>
        <xdr:cNvPr id="21" name="Rectangle: Rounded Corners 20">
          <a:extLst>
            <a:ext uri="{FF2B5EF4-FFF2-40B4-BE49-F238E27FC236}">
              <a16:creationId xmlns:a16="http://schemas.microsoft.com/office/drawing/2014/main" id="{DDEA6B81-042F-4AA8-801F-3AFF730A4FAA}"/>
            </a:ext>
          </a:extLst>
        </xdr:cNvPr>
        <xdr:cNvSpPr/>
      </xdr:nvSpPr>
      <xdr:spPr>
        <a:xfrm>
          <a:off x="4884674" y="4426281"/>
          <a:ext cx="2261457" cy="128871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565087</xdr:colOff>
      <xdr:row>27</xdr:row>
      <xdr:rowOff>63832</xdr:rowOff>
    </xdr:from>
    <xdr:to>
      <xdr:col>15</xdr:col>
      <xdr:colOff>269813</xdr:colOff>
      <xdr:row>35</xdr:row>
      <xdr:rowOff>35718</xdr:rowOff>
    </xdr:to>
    <xdr:sp macro="" textlink="">
      <xdr:nvSpPr>
        <xdr:cNvPr id="22" name="Rectangle: Rounded Corners 21">
          <a:extLst>
            <a:ext uri="{FF2B5EF4-FFF2-40B4-BE49-F238E27FC236}">
              <a16:creationId xmlns:a16="http://schemas.microsoft.com/office/drawing/2014/main" id="{44798A48-4995-4216-92E3-3F2C626EB777}"/>
            </a:ext>
          </a:extLst>
        </xdr:cNvPr>
        <xdr:cNvSpPr/>
      </xdr:nvSpPr>
      <xdr:spPr>
        <a:xfrm>
          <a:off x="7270687" y="4435807"/>
          <a:ext cx="2143126" cy="126728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387804</xdr:colOff>
      <xdr:row>1</xdr:row>
      <xdr:rowOff>158183</xdr:rowOff>
    </xdr:from>
    <xdr:to>
      <xdr:col>20</xdr:col>
      <xdr:colOff>387804</xdr:colOff>
      <xdr:row>32</xdr:row>
      <xdr:rowOff>23472</xdr:rowOff>
    </xdr:to>
    <xdr:cxnSp macro="">
      <xdr:nvCxnSpPr>
        <xdr:cNvPr id="23" name="Straight Connector 22">
          <a:extLst>
            <a:ext uri="{FF2B5EF4-FFF2-40B4-BE49-F238E27FC236}">
              <a16:creationId xmlns:a16="http://schemas.microsoft.com/office/drawing/2014/main" id="{49F0DE14-131D-48BD-96AE-BD9CEED192B7}"/>
            </a:ext>
          </a:extLst>
        </xdr:cNvPr>
        <xdr:cNvCxnSpPr/>
      </xdr:nvCxnSpPr>
      <xdr:spPr>
        <a:xfrm flipV="1">
          <a:off x="12579804" y="320108"/>
          <a:ext cx="0" cy="48849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180975</xdr:colOff>
      <xdr:row>3</xdr:row>
      <xdr:rowOff>59530</xdr:rowOff>
    </xdr:from>
    <xdr:to>
      <xdr:col>7</xdr:col>
      <xdr:colOff>14288</xdr:colOff>
      <xdr:row>5</xdr:row>
      <xdr:rowOff>66674</xdr:rowOff>
    </xdr:to>
    <xdr:grpSp>
      <xdr:nvGrpSpPr>
        <xdr:cNvPr id="24" name="Group 23">
          <a:extLst>
            <a:ext uri="{FF2B5EF4-FFF2-40B4-BE49-F238E27FC236}">
              <a16:creationId xmlns:a16="http://schemas.microsoft.com/office/drawing/2014/main" id="{3CD51940-7CAA-460F-9827-1D934CD80B0A}"/>
            </a:ext>
          </a:extLst>
        </xdr:cNvPr>
        <xdr:cNvGrpSpPr/>
      </xdr:nvGrpSpPr>
      <xdr:grpSpPr>
        <a:xfrm>
          <a:off x="3824288" y="559593"/>
          <a:ext cx="440531" cy="340519"/>
          <a:chOff x="1300163" y="1166812"/>
          <a:chExt cx="440531" cy="340519"/>
        </a:xfrm>
      </xdr:grpSpPr>
      <xdr:sp macro="" textlink="">
        <xdr:nvSpPr>
          <xdr:cNvPr id="25" name="Rectangle 24">
            <a:extLst>
              <a:ext uri="{FF2B5EF4-FFF2-40B4-BE49-F238E27FC236}">
                <a16:creationId xmlns:a16="http://schemas.microsoft.com/office/drawing/2014/main" id="{3E64F559-E1EE-E74D-DC3E-58B2F20BEE67}"/>
              </a:ext>
            </a:extLst>
          </xdr:cNvPr>
          <xdr:cNvSpPr/>
        </xdr:nvSpPr>
        <xdr:spPr>
          <a:xfrm>
            <a:off x="1300163" y="1166812"/>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09F00761-2501-E39A-71C6-7358C8959E17}"/>
              </a:ext>
            </a:extLst>
          </xdr:cNvPr>
          <xdr:cNvSpPr/>
        </xdr:nvSpPr>
        <xdr:spPr>
          <a:xfrm>
            <a:off x="1300163" y="1295399"/>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8ADC1DB6-6C5A-660F-A3DA-581D2811DF8B}"/>
              </a:ext>
            </a:extLst>
          </xdr:cNvPr>
          <xdr:cNvSpPr/>
        </xdr:nvSpPr>
        <xdr:spPr>
          <a:xfrm>
            <a:off x="1300163" y="1423987"/>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476251</xdr:colOff>
      <xdr:row>4</xdr:row>
      <xdr:rowOff>11906</xdr:rowOff>
    </xdr:from>
    <xdr:to>
      <xdr:col>11</xdr:col>
      <xdr:colOff>547688</xdr:colOff>
      <xdr:row>5</xdr:row>
      <xdr:rowOff>154781</xdr:rowOff>
    </xdr:to>
    <xdr:sp macro="" textlink="">
      <xdr:nvSpPr>
        <xdr:cNvPr id="28" name="TextBox 27">
          <a:extLst>
            <a:ext uri="{FF2B5EF4-FFF2-40B4-BE49-F238E27FC236}">
              <a16:creationId xmlns:a16="http://schemas.microsoft.com/office/drawing/2014/main" id="{31077F00-54B0-4633-953E-26F4BF43BDA2}"/>
            </a:ext>
          </a:extLst>
        </xdr:cNvPr>
        <xdr:cNvSpPr txBox="1"/>
      </xdr:nvSpPr>
      <xdr:spPr>
        <a:xfrm>
          <a:off x="4743451" y="659606"/>
          <a:ext cx="250983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Lucida Console" panose="020B0609040504020204" pitchFamily="49" charset="0"/>
            </a:rPr>
            <a:t>Amaefule's</a:t>
          </a:r>
          <a:r>
            <a:rPr lang="en-US" sz="1800" baseline="0">
              <a:solidFill>
                <a:schemeClr val="bg1"/>
              </a:solidFill>
              <a:latin typeface="Lucida Console" panose="020B0609040504020204" pitchFamily="49" charset="0"/>
            </a:rPr>
            <a:t> Store</a:t>
          </a:r>
          <a:endParaRPr lang="en-US" sz="1800">
            <a:solidFill>
              <a:schemeClr val="bg1"/>
            </a:solidFill>
            <a:latin typeface="Lucida Console" panose="020B0609040504020204" pitchFamily="49" charset="0"/>
          </a:endParaRPr>
        </a:p>
      </xdr:txBody>
    </xdr:sp>
    <xdr:clientData/>
  </xdr:twoCellAnchor>
  <xdr:twoCellAnchor>
    <xdr:from>
      <xdr:col>12</xdr:col>
      <xdr:colOff>369093</xdr:colOff>
      <xdr:row>4</xdr:row>
      <xdr:rowOff>59531</xdr:rowOff>
    </xdr:from>
    <xdr:to>
      <xdr:col>16</xdr:col>
      <xdr:colOff>345281</xdr:colOff>
      <xdr:row>5</xdr:row>
      <xdr:rowOff>83343</xdr:rowOff>
    </xdr:to>
    <xdr:sp macro="" textlink="">
      <xdr:nvSpPr>
        <xdr:cNvPr id="29" name="Rectangle: Rounded Corners 28">
          <a:extLst>
            <a:ext uri="{FF2B5EF4-FFF2-40B4-BE49-F238E27FC236}">
              <a16:creationId xmlns:a16="http://schemas.microsoft.com/office/drawing/2014/main" id="{24D64746-76B9-453B-ACA3-3BCEAB26B599}"/>
            </a:ext>
          </a:extLst>
        </xdr:cNvPr>
        <xdr:cNvSpPr/>
      </xdr:nvSpPr>
      <xdr:spPr>
        <a:xfrm>
          <a:off x="7684293" y="707231"/>
          <a:ext cx="2414588" cy="185737"/>
        </a:xfrm>
        <a:prstGeom prst="roundRect">
          <a:avLst>
            <a:gd name="adj" fmla="val 5000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576604</xdr:colOff>
      <xdr:row>37</xdr:row>
      <xdr:rowOff>50009</xdr:rowOff>
    </xdr:from>
    <xdr:to>
      <xdr:col>20</xdr:col>
      <xdr:colOff>407535</xdr:colOff>
      <xdr:row>37</xdr:row>
      <xdr:rowOff>50009</xdr:rowOff>
    </xdr:to>
    <xdr:cxnSp macro="">
      <xdr:nvCxnSpPr>
        <xdr:cNvPr id="30" name="Straight Connector 29">
          <a:extLst>
            <a:ext uri="{FF2B5EF4-FFF2-40B4-BE49-F238E27FC236}">
              <a16:creationId xmlns:a16="http://schemas.microsoft.com/office/drawing/2014/main" id="{C6E01CC4-7987-4818-90D0-2F37CCB8BBB8}"/>
            </a:ext>
          </a:extLst>
        </xdr:cNvPr>
        <xdr:cNvCxnSpPr/>
      </xdr:nvCxnSpPr>
      <xdr:spPr>
        <a:xfrm flipH="1">
          <a:off x="3015004" y="6041234"/>
          <a:ext cx="958453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107156</xdr:colOff>
      <xdr:row>4</xdr:row>
      <xdr:rowOff>71438</xdr:rowOff>
    </xdr:from>
    <xdr:to>
      <xdr:col>16</xdr:col>
      <xdr:colOff>273843</xdr:colOff>
      <xdr:row>5</xdr:row>
      <xdr:rowOff>71437</xdr:rowOff>
    </xdr:to>
    <xdr:pic>
      <xdr:nvPicPr>
        <xdr:cNvPr id="31" name="Graphic 30" descr="Magnifying glass">
          <a:extLst>
            <a:ext uri="{FF2B5EF4-FFF2-40B4-BE49-F238E27FC236}">
              <a16:creationId xmlns:a16="http://schemas.microsoft.com/office/drawing/2014/main" id="{7DB66B7B-8480-4190-AAB1-F27558C20A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0756" y="719138"/>
          <a:ext cx="166687" cy="161924"/>
        </a:xfrm>
        <a:prstGeom prst="rect">
          <a:avLst/>
        </a:prstGeom>
      </xdr:spPr>
    </xdr:pic>
    <xdr:clientData/>
  </xdr:twoCellAnchor>
  <xdr:twoCellAnchor editAs="oneCell">
    <xdr:from>
      <xdr:col>6</xdr:col>
      <xdr:colOff>250028</xdr:colOff>
      <xdr:row>23</xdr:row>
      <xdr:rowOff>47625</xdr:rowOff>
    </xdr:from>
    <xdr:to>
      <xdr:col>7</xdr:col>
      <xdr:colOff>100010</xdr:colOff>
      <xdr:row>26</xdr:row>
      <xdr:rowOff>4763</xdr:rowOff>
    </xdr:to>
    <xdr:pic>
      <xdr:nvPicPr>
        <xdr:cNvPr id="32" name="Graphic 31" descr="Database">
          <a:extLst>
            <a:ext uri="{FF2B5EF4-FFF2-40B4-BE49-F238E27FC236}">
              <a16:creationId xmlns:a16="http://schemas.microsoft.com/office/drawing/2014/main" id="{B0C0F61F-EB9E-4EA3-8C7C-6094237980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07628" y="3771900"/>
          <a:ext cx="459582" cy="442913"/>
        </a:xfrm>
        <a:prstGeom prst="rect">
          <a:avLst/>
        </a:prstGeom>
      </xdr:spPr>
    </xdr:pic>
    <xdr:clientData/>
  </xdr:twoCellAnchor>
  <xdr:twoCellAnchor editAs="oneCell">
    <xdr:from>
      <xdr:col>6</xdr:col>
      <xdr:colOff>216333</xdr:colOff>
      <xdr:row>27</xdr:row>
      <xdr:rowOff>32638</xdr:rowOff>
    </xdr:from>
    <xdr:to>
      <xdr:col>7</xdr:col>
      <xdr:colOff>66315</xdr:colOff>
      <xdr:row>29</xdr:row>
      <xdr:rowOff>153061</xdr:rowOff>
    </xdr:to>
    <xdr:pic>
      <xdr:nvPicPr>
        <xdr:cNvPr id="33" name="Graphic 32" descr="Clipboard">
          <a:extLst>
            <a:ext uri="{FF2B5EF4-FFF2-40B4-BE49-F238E27FC236}">
              <a16:creationId xmlns:a16="http://schemas.microsoft.com/office/drawing/2014/main" id="{8BF76C32-64DB-4F4B-9F55-23E85714CC6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73933" y="4404613"/>
          <a:ext cx="459582" cy="444273"/>
        </a:xfrm>
        <a:prstGeom prst="rect">
          <a:avLst/>
        </a:prstGeom>
      </xdr:spPr>
    </xdr:pic>
    <xdr:clientData/>
  </xdr:twoCellAnchor>
  <xdr:twoCellAnchor editAs="oneCell">
    <xdr:from>
      <xdr:col>6</xdr:col>
      <xdr:colOff>204108</xdr:colOff>
      <xdr:row>31</xdr:row>
      <xdr:rowOff>13608</xdr:rowOff>
    </xdr:from>
    <xdr:to>
      <xdr:col>7</xdr:col>
      <xdr:colOff>44223</xdr:colOff>
      <xdr:row>33</xdr:row>
      <xdr:rowOff>132669</xdr:rowOff>
    </xdr:to>
    <xdr:pic>
      <xdr:nvPicPr>
        <xdr:cNvPr id="34" name="Graphic 33" descr="Presentation with pie chart">
          <a:extLst>
            <a:ext uri="{FF2B5EF4-FFF2-40B4-BE49-F238E27FC236}">
              <a16:creationId xmlns:a16="http://schemas.microsoft.com/office/drawing/2014/main" id="{B5051A75-0A11-4A6C-AA7F-4C4D813D16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61708" y="5033283"/>
          <a:ext cx="449715" cy="442911"/>
        </a:xfrm>
        <a:prstGeom prst="rect">
          <a:avLst/>
        </a:prstGeom>
      </xdr:spPr>
    </xdr:pic>
    <xdr:clientData/>
  </xdr:twoCellAnchor>
  <xdr:twoCellAnchor>
    <xdr:from>
      <xdr:col>18</xdr:col>
      <xdr:colOff>108854</xdr:colOff>
      <xdr:row>3</xdr:row>
      <xdr:rowOff>149680</xdr:rowOff>
    </xdr:from>
    <xdr:to>
      <xdr:col>18</xdr:col>
      <xdr:colOff>291734</xdr:colOff>
      <xdr:row>5</xdr:row>
      <xdr:rowOff>97428</xdr:rowOff>
    </xdr:to>
    <xdr:grpSp>
      <xdr:nvGrpSpPr>
        <xdr:cNvPr id="35" name="Group 34">
          <a:extLst>
            <a:ext uri="{FF2B5EF4-FFF2-40B4-BE49-F238E27FC236}">
              <a16:creationId xmlns:a16="http://schemas.microsoft.com/office/drawing/2014/main" id="{0289552F-E823-4BB3-9580-F906D88D7BDC}"/>
            </a:ext>
          </a:extLst>
        </xdr:cNvPr>
        <xdr:cNvGrpSpPr/>
      </xdr:nvGrpSpPr>
      <xdr:grpSpPr>
        <a:xfrm>
          <a:off x="11038792" y="649743"/>
          <a:ext cx="182880" cy="281123"/>
          <a:chOff x="13471071" y="680357"/>
          <a:chExt cx="435430" cy="544287"/>
        </a:xfrm>
      </xdr:grpSpPr>
      <xdr:pic>
        <xdr:nvPicPr>
          <xdr:cNvPr id="36" name="Graphic 35" descr="Ringer">
            <a:extLst>
              <a:ext uri="{FF2B5EF4-FFF2-40B4-BE49-F238E27FC236}">
                <a16:creationId xmlns:a16="http://schemas.microsoft.com/office/drawing/2014/main" id="{5DD3F7F7-3CF5-3578-F54C-4DED64B564D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471071" y="816429"/>
            <a:ext cx="408215" cy="408215"/>
          </a:xfrm>
          <a:prstGeom prst="rect">
            <a:avLst/>
          </a:prstGeom>
        </xdr:spPr>
      </xdr:pic>
      <xdr:grpSp>
        <xdr:nvGrpSpPr>
          <xdr:cNvPr id="37" name="Group 36">
            <a:extLst>
              <a:ext uri="{FF2B5EF4-FFF2-40B4-BE49-F238E27FC236}">
                <a16:creationId xmlns:a16="http://schemas.microsoft.com/office/drawing/2014/main" id="{8698A9EE-C328-65FE-7B7C-8309C0F8F418}"/>
              </a:ext>
            </a:extLst>
          </xdr:cNvPr>
          <xdr:cNvGrpSpPr/>
        </xdr:nvGrpSpPr>
        <xdr:grpSpPr>
          <a:xfrm>
            <a:off x="13647966" y="680357"/>
            <a:ext cx="258535" cy="299356"/>
            <a:chOff x="15444107" y="2408464"/>
            <a:chExt cx="762000" cy="762000"/>
          </a:xfrm>
        </xdr:grpSpPr>
        <xdr:sp macro="" textlink="">
          <xdr:nvSpPr>
            <xdr:cNvPr id="38" name="Oval 37">
              <a:extLst>
                <a:ext uri="{FF2B5EF4-FFF2-40B4-BE49-F238E27FC236}">
                  <a16:creationId xmlns:a16="http://schemas.microsoft.com/office/drawing/2014/main" id="{B6E57C46-518B-F429-8D2C-F79ECE87EB80}"/>
                </a:ext>
              </a:extLst>
            </xdr:cNvPr>
            <xdr:cNvSpPr/>
          </xdr:nvSpPr>
          <xdr:spPr>
            <a:xfrm>
              <a:off x="15444107" y="2408464"/>
              <a:ext cx="762000" cy="76200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400" b="1">
                <a:latin typeface="Bodoni MT Black" panose="02070A03080606020203" pitchFamily="18" charset="0"/>
              </a:endParaRPr>
            </a:p>
          </xdr:txBody>
        </xdr:sp>
        <xdr:sp macro="" textlink="">
          <xdr:nvSpPr>
            <xdr:cNvPr id="39" name="TextBox 38">
              <a:extLst>
                <a:ext uri="{FF2B5EF4-FFF2-40B4-BE49-F238E27FC236}">
                  <a16:creationId xmlns:a16="http://schemas.microsoft.com/office/drawing/2014/main" id="{0AFB7DD1-EFDD-B513-94A0-4CA702D42705}"/>
                </a:ext>
              </a:extLst>
            </xdr:cNvPr>
            <xdr:cNvSpPr txBox="1"/>
          </xdr:nvSpPr>
          <xdr:spPr>
            <a:xfrm>
              <a:off x="15689036" y="2612570"/>
              <a:ext cx="285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Bodoni MT Black" panose="02070A03080606020203" pitchFamily="18" charset="0"/>
                </a:rPr>
                <a:t>3</a:t>
              </a:r>
            </a:p>
          </xdr:txBody>
        </xdr:sp>
      </xdr:grpSp>
    </xdr:grpSp>
    <xdr:clientData/>
  </xdr:twoCellAnchor>
  <xdr:twoCellAnchor>
    <xdr:from>
      <xdr:col>18</xdr:col>
      <xdr:colOff>367392</xdr:colOff>
      <xdr:row>4</xdr:row>
      <xdr:rowOff>112940</xdr:rowOff>
    </xdr:from>
    <xdr:to>
      <xdr:col>19</xdr:col>
      <xdr:colOff>81643</xdr:colOff>
      <xdr:row>5</xdr:row>
      <xdr:rowOff>27214</xdr:rowOff>
    </xdr:to>
    <xdr:grpSp>
      <xdr:nvGrpSpPr>
        <xdr:cNvPr id="40" name="Group 39">
          <a:extLst>
            <a:ext uri="{FF2B5EF4-FFF2-40B4-BE49-F238E27FC236}">
              <a16:creationId xmlns:a16="http://schemas.microsoft.com/office/drawing/2014/main" id="{067502FC-A3B4-42D7-B350-B3EDC800B3A6}"/>
            </a:ext>
          </a:extLst>
        </xdr:cNvPr>
        <xdr:cNvGrpSpPr/>
      </xdr:nvGrpSpPr>
      <xdr:grpSpPr>
        <a:xfrm>
          <a:off x="11297330" y="779690"/>
          <a:ext cx="321469" cy="80962"/>
          <a:chOff x="13171714" y="1827439"/>
          <a:chExt cx="495304" cy="149679"/>
        </a:xfrm>
        <a:solidFill>
          <a:schemeClr val="bg1"/>
        </a:solidFill>
      </xdr:grpSpPr>
      <xdr:sp macro="" textlink="">
        <xdr:nvSpPr>
          <xdr:cNvPr id="41" name="Oval 40">
            <a:extLst>
              <a:ext uri="{FF2B5EF4-FFF2-40B4-BE49-F238E27FC236}">
                <a16:creationId xmlns:a16="http://schemas.microsoft.com/office/drawing/2014/main" id="{0C838A4E-0804-3F85-5285-0E2861227900}"/>
              </a:ext>
            </a:extLst>
          </xdr:cNvPr>
          <xdr:cNvSpPr/>
        </xdr:nvSpPr>
        <xdr:spPr>
          <a:xfrm>
            <a:off x="13171714"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2" name="Oval 41">
            <a:extLst>
              <a:ext uri="{FF2B5EF4-FFF2-40B4-BE49-F238E27FC236}">
                <a16:creationId xmlns:a16="http://schemas.microsoft.com/office/drawing/2014/main" id="{AB517E5F-881B-ED25-DC8B-D4901B73566D}"/>
              </a:ext>
            </a:extLst>
          </xdr:cNvPr>
          <xdr:cNvSpPr/>
        </xdr:nvSpPr>
        <xdr:spPr>
          <a:xfrm>
            <a:off x="13351330"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3" name="Oval 42">
            <a:extLst>
              <a:ext uri="{FF2B5EF4-FFF2-40B4-BE49-F238E27FC236}">
                <a16:creationId xmlns:a16="http://schemas.microsoft.com/office/drawing/2014/main" id="{CC96D72D-2470-EB99-E5FA-58056D754F60}"/>
              </a:ext>
            </a:extLst>
          </xdr:cNvPr>
          <xdr:cNvSpPr/>
        </xdr:nvSpPr>
        <xdr:spPr>
          <a:xfrm>
            <a:off x="13530946"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376237</xdr:colOff>
      <xdr:row>1</xdr:row>
      <xdr:rowOff>95248</xdr:rowOff>
    </xdr:from>
    <xdr:to>
      <xdr:col>19</xdr:col>
      <xdr:colOff>535781</xdr:colOff>
      <xdr:row>35</xdr:row>
      <xdr:rowOff>166686</xdr:rowOff>
    </xdr:to>
    <xdr:sp macro="" textlink="">
      <xdr:nvSpPr>
        <xdr:cNvPr id="2" name="Rectangle 1">
          <a:extLst>
            <a:ext uri="{FF2B5EF4-FFF2-40B4-BE49-F238E27FC236}">
              <a16:creationId xmlns:a16="http://schemas.microsoft.com/office/drawing/2014/main" id="{A3CB28EC-F509-30DD-76C6-99D0B8581FAE}"/>
            </a:ext>
          </a:extLst>
        </xdr:cNvPr>
        <xdr:cNvSpPr/>
      </xdr:nvSpPr>
      <xdr:spPr>
        <a:xfrm>
          <a:off x="4626768" y="261936"/>
          <a:ext cx="7446169" cy="5738813"/>
        </a:xfrm>
        <a:prstGeom prst="rect">
          <a:avLst/>
        </a:prstGeom>
        <a:solidFill>
          <a:srgbClr val="EAE9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1</xdr:row>
      <xdr:rowOff>92867</xdr:rowOff>
    </xdr:from>
    <xdr:to>
      <xdr:col>7</xdr:col>
      <xdr:colOff>369095</xdr:colOff>
      <xdr:row>35</xdr:row>
      <xdr:rowOff>164305</xdr:rowOff>
    </xdr:to>
    <xdr:sp macro="" textlink="">
      <xdr:nvSpPr>
        <xdr:cNvPr id="3" name="Rectangle 2">
          <a:extLst>
            <a:ext uri="{FF2B5EF4-FFF2-40B4-BE49-F238E27FC236}">
              <a16:creationId xmlns:a16="http://schemas.microsoft.com/office/drawing/2014/main" id="{B3BFF339-34EF-464A-9B8A-5E10E6AB4EBE}"/>
            </a:ext>
          </a:extLst>
        </xdr:cNvPr>
        <xdr:cNvSpPr/>
      </xdr:nvSpPr>
      <xdr:spPr>
        <a:xfrm>
          <a:off x="3512344" y="259555"/>
          <a:ext cx="1107282" cy="5738813"/>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373856</xdr:colOff>
      <xdr:row>1</xdr:row>
      <xdr:rowOff>92867</xdr:rowOff>
    </xdr:from>
    <xdr:to>
      <xdr:col>19</xdr:col>
      <xdr:colOff>533400</xdr:colOff>
      <xdr:row>7</xdr:row>
      <xdr:rowOff>47625</xdr:rowOff>
    </xdr:to>
    <xdr:sp macro="" textlink="">
      <xdr:nvSpPr>
        <xdr:cNvPr id="4" name="Rectangle 3">
          <a:extLst>
            <a:ext uri="{FF2B5EF4-FFF2-40B4-BE49-F238E27FC236}">
              <a16:creationId xmlns:a16="http://schemas.microsoft.com/office/drawing/2014/main" id="{ACB5593D-F28F-411F-A7D0-C3198C7FB594}"/>
            </a:ext>
          </a:extLst>
        </xdr:cNvPr>
        <xdr:cNvSpPr/>
      </xdr:nvSpPr>
      <xdr:spPr>
        <a:xfrm>
          <a:off x="4624387" y="259555"/>
          <a:ext cx="7446169" cy="954883"/>
        </a:xfrm>
        <a:prstGeom prst="rect">
          <a:avLst/>
        </a:prstGeom>
        <a:solidFill>
          <a:srgbClr val="7538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428625</xdr:colOff>
      <xdr:row>19</xdr:row>
      <xdr:rowOff>9530</xdr:rowOff>
    </xdr:from>
    <xdr:to>
      <xdr:col>19</xdr:col>
      <xdr:colOff>178593</xdr:colOff>
      <xdr:row>22</xdr:row>
      <xdr:rowOff>142876</xdr:rowOff>
    </xdr:to>
    <xdr:grpSp>
      <xdr:nvGrpSpPr>
        <xdr:cNvPr id="8" name="Group 7">
          <a:extLst>
            <a:ext uri="{FF2B5EF4-FFF2-40B4-BE49-F238E27FC236}">
              <a16:creationId xmlns:a16="http://schemas.microsoft.com/office/drawing/2014/main" id="{B8A0597E-5E83-2815-8B4D-1BC26299B272}"/>
            </a:ext>
          </a:extLst>
        </xdr:cNvPr>
        <xdr:cNvGrpSpPr/>
      </xdr:nvGrpSpPr>
      <xdr:grpSpPr>
        <a:xfrm>
          <a:off x="9536906" y="3176593"/>
          <a:ext cx="2178843" cy="633408"/>
          <a:chOff x="8001003" y="2069310"/>
          <a:chExt cx="2591834" cy="633407"/>
        </a:xfrm>
      </xdr:grpSpPr>
      <xdr:sp macro="" textlink="">
        <xdr:nvSpPr>
          <xdr:cNvPr id="6" name="Rectangle: Top Corners Rounded 5">
            <a:extLst>
              <a:ext uri="{FF2B5EF4-FFF2-40B4-BE49-F238E27FC236}">
                <a16:creationId xmlns:a16="http://schemas.microsoft.com/office/drawing/2014/main" id="{E45802B2-27A8-7E4C-B2E5-2CAA9C026185}"/>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7FF922B4-987E-4DA2-8D1C-D6019D929BEF}"/>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xdr:colOff>
      <xdr:row>8</xdr:row>
      <xdr:rowOff>46433</xdr:rowOff>
    </xdr:from>
    <xdr:to>
      <xdr:col>13</xdr:col>
      <xdr:colOff>285750</xdr:colOff>
      <xdr:row>18</xdr:row>
      <xdr:rowOff>46434</xdr:rowOff>
    </xdr:to>
    <xdr:sp macro="" textlink="">
      <xdr:nvSpPr>
        <xdr:cNvPr id="27" name="Rectangle: Rounded Corners 26">
          <a:extLst>
            <a:ext uri="{FF2B5EF4-FFF2-40B4-BE49-F238E27FC236}">
              <a16:creationId xmlns:a16="http://schemas.microsoft.com/office/drawing/2014/main" id="{980E2261-36FD-04E6-3561-E55E98DFD8E0}"/>
            </a:ext>
          </a:extLst>
        </xdr:cNvPr>
        <xdr:cNvSpPr/>
      </xdr:nvSpPr>
      <xdr:spPr>
        <a:xfrm>
          <a:off x="4869656" y="1379933"/>
          <a:ext cx="3309938" cy="166687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521493</xdr:colOff>
      <xdr:row>8</xdr:row>
      <xdr:rowOff>46433</xdr:rowOff>
    </xdr:from>
    <xdr:to>
      <xdr:col>19</xdr:col>
      <xdr:colOff>188119</xdr:colOff>
      <xdr:row>18</xdr:row>
      <xdr:rowOff>46434</xdr:rowOff>
    </xdr:to>
    <xdr:sp macro="" textlink="">
      <xdr:nvSpPr>
        <xdr:cNvPr id="5120" name="Rectangle: Rounded Corners 5119">
          <a:extLst>
            <a:ext uri="{FF2B5EF4-FFF2-40B4-BE49-F238E27FC236}">
              <a16:creationId xmlns:a16="http://schemas.microsoft.com/office/drawing/2014/main" id="{E705950E-E89B-40FA-8651-B08E1C645FDD}"/>
            </a:ext>
          </a:extLst>
        </xdr:cNvPr>
        <xdr:cNvSpPr/>
      </xdr:nvSpPr>
      <xdr:spPr>
        <a:xfrm>
          <a:off x="8415337" y="1379933"/>
          <a:ext cx="3309938" cy="166687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560325</xdr:colOff>
      <xdr:row>18</xdr:row>
      <xdr:rowOff>166226</xdr:rowOff>
    </xdr:from>
    <xdr:to>
      <xdr:col>15</xdr:col>
      <xdr:colOff>265051</xdr:colOff>
      <xdr:row>27</xdr:row>
      <xdr:rowOff>11907</xdr:rowOff>
    </xdr:to>
    <xdr:sp macro="" textlink="">
      <xdr:nvSpPr>
        <xdr:cNvPr id="5123" name="Rectangle: Rounded Corners 5122">
          <a:extLst>
            <a:ext uri="{FF2B5EF4-FFF2-40B4-BE49-F238E27FC236}">
              <a16:creationId xmlns:a16="http://schemas.microsoft.com/office/drawing/2014/main" id="{E1781DBD-A039-4BE8-9584-8890B3BF5146}"/>
            </a:ext>
          </a:extLst>
        </xdr:cNvPr>
        <xdr:cNvSpPr/>
      </xdr:nvSpPr>
      <xdr:spPr>
        <a:xfrm>
          <a:off x="7239731" y="3166601"/>
          <a:ext cx="2133601" cy="1345869"/>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23</xdr:row>
      <xdr:rowOff>30961</xdr:rowOff>
    </xdr:from>
    <xdr:to>
      <xdr:col>19</xdr:col>
      <xdr:colOff>188118</xdr:colOff>
      <xdr:row>27</xdr:row>
      <xdr:rowOff>3115</xdr:rowOff>
    </xdr:to>
    <xdr:grpSp>
      <xdr:nvGrpSpPr>
        <xdr:cNvPr id="5133" name="Group 5132">
          <a:extLst>
            <a:ext uri="{FF2B5EF4-FFF2-40B4-BE49-F238E27FC236}">
              <a16:creationId xmlns:a16="http://schemas.microsoft.com/office/drawing/2014/main" id="{EAE0A26B-ACFF-4A60-9302-002E994C5F4B}"/>
            </a:ext>
          </a:extLst>
        </xdr:cNvPr>
        <xdr:cNvGrpSpPr/>
      </xdr:nvGrpSpPr>
      <xdr:grpSpPr>
        <a:xfrm>
          <a:off x="9546431" y="3864774"/>
          <a:ext cx="2178843" cy="638904"/>
          <a:chOff x="8001003" y="2069310"/>
          <a:chExt cx="2591834" cy="633407"/>
        </a:xfrm>
      </xdr:grpSpPr>
      <xdr:sp macro="" textlink="">
        <xdr:nvSpPr>
          <xdr:cNvPr id="5134" name="Rectangle: Top Corners Rounded 5133">
            <a:extLst>
              <a:ext uri="{FF2B5EF4-FFF2-40B4-BE49-F238E27FC236}">
                <a16:creationId xmlns:a16="http://schemas.microsoft.com/office/drawing/2014/main" id="{BF2717BF-FED0-3D7E-EF58-F568D921DD0A}"/>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35" name="Rectangle: Top Corners Rounded 5134">
            <a:extLst>
              <a:ext uri="{FF2B5EF4-FFF2-40B4-BE49-F238E27FC236}">
                <a16:creationId xmlns:a16="http://schemas.microsoft.com/office/drawing/2014/main" id="{E51C2701-2B8B-1E80-7B52-CCA590BFF90D}"/>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435768</xdr:colOff>
      <xdr:row>27</xdr:row>
      <xdr:rowOff>52393</xdr:rowOff>
    </xdr:from>
    <xdr:to>
      <xdr:col>19</xdr:col>
      <xdr:colOff>185736</xdr:colOff>
      <xdr:row>31</xdr:row>
      <xdr:rowOff>19051</xdr:rowOff>
    </xdr:to>
    <xdr:grpSp>
      <xdr:nvGrpSpPr>
        <xdr:cNvPr id="5136" name="Group 5135">
          <a:extLst>
            <a:ext uri="{FF2B5EF4-FFF2-40B4-BE49-F238E27FC236}">
              <a16:creationId xmlns:a16="http://schemas.microsoft.com/office/drawing/2014/main" id="{B0CA075F-0EE6-4B6F-92F7-747DB32B56EC}"/>
            </a:ext>
          </a:extLst>
        </xdr:cNvPr>
        <xdr:cNvGrpSpPr/>
      </xdr:nvGrpSpPr>
      <xdr:grpSpPr>
        <a:xfrm>
          <a:off x="9544049" y="4552956"/>
          <a:ext cx="2178843" cy="633408"/>
          <a:chOff x="8001003" y="2069310"/>
          <a:chExt cx="2591834" cy="633407"/>
        </a:xfrm>
      </xdr:grpSpPr>
      <xdr:sp macro="" textlink="">
        <xdr:nvSpPr>
          <xdr:cNvPr id="5137" name="Rectangle: Top Corners Rounded 5136">
            <a:extLst>
              <a:ext uri="{FF2B5EF4-FFF2-40B4-BE49-F238E27FC236}">
                <a16:creationId xmlns:a16="http://schemas.microsoft.com/office/drawing/2014/main" id="{346BACFD-C26F-5903-7F99-637BD6669E19}"/>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38" name="Rectangle: Top Corners Rounded 5137">
            <a:extLst>
              <a:ext uri="{FF2B5EF4-FFF2-40B4-BE49-F238E27FC236}">
                <a16:creationId xmlns:a16="http://schemas.microsoft.com/office/drawing/2014/main" id="{2CD31C7C-0589-FA6A-2A6B-6BEB43AAFE5F}"/>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445293</xdr:colOff>
      <xdr:row>31</xdr:row>
      <xdr:rowOff>73824</xdr:rowOff>
    </xdr:from>
    <xdr:to>
      <xdr:col>19</xdr:col>
      <xdr:colOff>195261</xdr:colOff>
      <xdr:row>35</xdr:row>
      <xdr:rowOff>40482</xdr:rowOff>
    </xdr:to>
    <xdr:grpSp>
      <xdr:nvGrpSpPr>
        <xdr:cNvPr id="5139" name="Group 5138">
          <a:extLst>
            <a:ext uri="{FF2B5EF4-FFF2-40B4-BE49-F238E27FC236}">
              <a16:creationId xmlns:a16="http://schemas.microsoft.com/office/drawing/2014/main" id="{9D1F7162-CED4-4D7E-8992-C7A10B6CC3FE}"/>
            </a:ext>
          </a:extLst>
        </xdr:cNvPr>
        <xdr:cNvGrpSpPr/>
      </xdr:nvGrpSpPr>
      <xdr:grpSpPr>
        <a:xfrm>
          <a:off x="9553574" y="5241137"/>
          <a:ext cx="2178843" cy="633408"/>
          <a:chOff x="8001003" y="2069310"/>
          <a:chExt cx="2591834" cy="633407"/>
        </a:xfrm>
      </xdr:grpSpPr>
      <xdr:sp macro="" textlink="">
        <xdr:nvSpPr>
          <xdr:cNvPr id="5140" name="Rectangle: Top Corners Rounded 5139">
            <a:extLst>
              <a:ext uri="{FF2B5EF4-FFF2-40B4-BE49-F238E27FC236}">
                <a16:creationId xmlns:a16="http://schemas.microsoft.com/office/drawing/2014/main" id="{CEA30F45-24F3-A898-7AE9-B2CF3CDC97FA}"/>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41" name="Rectangle: Top Corners Rounded 5140">
            <a:extLst>
              <a:ext uri="{FF2B5EF4-FFF2-40B4-BE49-F238E27FC236}">
                <a16:creationId xmlns:a16="http://schemas.microsoft.com/office/drawing/2014/main" id="{51291BBE-8AA3-13F5-D35B-77FDA658335F}"/>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22162</xdr:colOff>
      <xdr:row>18</xdr:row>
      <xdr:rowOff>163845</xdr:rowOff>
    </xdr:from>
    <xdr:to>
      <xdr:col>11</xdr:col>
      <xdr:colOff>440531</xdr:colOff>
      <xdr:row>27</xdr:row>
      <xdr:rowOff>9526</xdr:rowOff>
    </xdr:to>
    <xdr:sp macro="" textlink="">
      <xdr:nvSpPr>
        <xdr:cNvPr id="5143" name="Rectangle: Rounded Corners 5142">
          <a:extLst>
            <a:ext uri="{FF2B5EF4-FFF2-40B4-BE49-F238E27FC236}">
              <a16:creationId xmlns:a16="http://schemas.microsoft.com/office/drawing/2014/main" id="{AF48D841-DA87-499C-B31E-359A3117B060}"/>
            </a:ext>
          </a:extLst>
        </xdr:cNvPr>
        <xdr:cNvSpPr/>
      </xdr:nvSpPr>
      <xdr:spPr>
        <a:xfrm>
          <a:off x="4879912" y="3164220"/>
          <a:ext cx="2240025" cy="1345869"/>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7874</xdr:colOff>
      <xdr:row>27</xdr:row>
      <xdr:rowOff>54306</xdr:rowOff>
    </xdr:from>
    <xdr:to>
      <xdr:col>11</xdr:col>
      <xdr:colOff>440531</xdr:colOff>
      <xdr:row>35</xdr:row>
      <xdr:rowOff>47624</xdr:rowOff>
    </xdr:to>
    <xdr:sp macro="" textlink="">
      <xdr:nvSpPr>
        <xdr:cNvPr id="5144" name="Rectangle: Rounded Corners 5143">
          <a:extLst>
            <a:ext uri="{FF2B5EF4-FFF2-40B4-BE49-F238E27FC236}">
              <a16:creationId xmlns:a16="http://schemas.microsoft.com/office/drawing/2014/main" id="{3003E743-6312-40A8-9D99-AC7B660663D7}"/>
            </a:ext>
          </a:extLst>
        </xdr:cNvPr>
        <xdr:cNvSpPr/>
      </xdr:nvSpPr>
      <xdr:spPr>
        <a:xfrm>
          <a:off x="4865624" y="4554869"/>
          <a:ext cx="2254313" cy="132681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565087</xdr:colOff>
      <xdr:row>27</xdr:row>
      <xdr:rowOff>63832</xdr:rowOff>
    </xdr:from>
    <xdr:to>
      <xdr:col>15</xdr:col>
      <xdr:colOff>269813</xdr:colOff>
      <xdr:row>35</xdr:row>
      <xdr:rowOff>35718</xdr:rowOff>
    </xdr:to>
    <xdr:sp macro="" textlink="">
      <xdr:nvSpPr>
        <xdr:cNvPr id="5145" name="Rectangle: Rounded Corners 5144">
          <a:extLst>
            <a:ext uri="{FF2B5EF4-FFF2-40B4-BE49-F238E27FC236}">
              <a16:creationId xmlns:a16="http://schemas.microsoft.com/office/drawing/2014/main" id="{A7B23080-8E8E-4A5F-B919-C195177B9903}"/>
            </a:ext>
          </a:extLst>
        </xdr:cNvPr>
        <xdr:cNvSpPr/>
      </xdr:nvSpPr>
      <xdr:spPr>
        <a:xfrm>
          <a:off x="7244493" y="4564395"/>
          <a:ext cx="2133601" cy="130538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387804</xdr:colOff>
      <xdr:row>1</xdr:row>
      <xdr:rowOff>158183</xdr:rowOff>
    </xdr:from>
    <xdr:to>
      <xdr:col>20</xdr:col>
      <xdr:colOff>387804</xdr:colOff>
      <xdr:row>32</xdr:row>
      <xdr:rowOff>23472</xdr:rowOff>
    </xdr:to>
    <xdr:cxnSp macro="">
      <xdr:nvCxnSpPr>
        <xdr:cNvPr id="5147" name="Straight Connector 5146">
          <a:extLst>
            <a:ext uri="{FF2B5EF4-FFF2-40B4-BE49-F238E27FC236}">
              <a16:creationId xmlns:a16="http://schemas.microsoft.com/office/drawing/2014/main" id="{7A9E5B8F-CF54-1056-A437-EC47FFF83CC9}"/>
            </a:ext>
          </a:extLst>
        </xdr:cNvPr>
        <xdr:cNvCxnSpPr/>
      </xdr:nvCxnSpPr>
      <xdr:spPr>
        <a:xfrm flipV="1">
          <a:off x="12634233" y="321469"/>
          <a:ext cx="0" cy="49271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180975</xdr:colOff>
      <xdr:row>3</xdr:row>
      <xdr:rowOff>59530</xdr:rowOff>
    </xdr:from>
    <xdr:to>
      <xdr:col>7</xdr:col>
      <xdr:colOff>14288</xdr:colOff>
      <xdr:row>5</xdr:row>
      <xdr:rowOff>66674</xdr:rowOff>
    </xdr:to>
    <xdr:grpSp>
      <xdr:nvGrpSpPr>
        <xdr:cNvPr id="5154" name="Group 5153">
          <a:extLst>
            <a:ext uri="{FF2B5EF4-FFF2-40B4-BE49-F238E27FC236}">
              <a16:creationId xmlns:a16="http://schemas.microsoft.com/office/drawing/2014/main" id="{2B11DF23-B032-ACD8-478F-146EC351A623}"/>
            </a:ext>
          </a:extLst>
        </xdr:cNvPr>
        <xdr:cNvGrpSpPr/>
      </xdr:nvGrpSpPr>
      <xdr:grpSpPr>
        <a:xfrm>
          <a:off x="3824288" y="559593"/>
          <a:ext cx="440531" cy="340519"/>
          <a:chOff x="1300163" y="1166812"/>
          <a:chExt cx="440531" cy="340519"/>
        </a:xfrm>
      </xdr:grpSpPr>
      <xdr:sp macro="" textlink="">
        <xdr:nvSpPr>
          <xdr:cNvPr id="5151" name="Rectangle 5150">
            <a:extLst>
              <a:ext uri="{FF2B5EF4-FFF2-40B4-BE49-F238E27FC236}">
                <a16:creationId xmlns:a16="http://schemas.microsoft.com/office/drawing/2014/main" id="{FE99CC4E-1DB6-327B-6FA1-5BF2C67203B3}"/>
              </a:ext>
            </a:extLst>
          </xdr:cNvPr>
          <xdr:cNvSpPr/>
        </xdr:nvSpPr>
        <xdr:spPr>
          <a:xfrm>
            <a:off x="1300163" y="1166812"/>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52" name="Rectangle 5151">
            <a:extLst>
              <a:ext uri="{FF2B5EF4-FFF2-40B4-BE49-F238E27FC236}">
                <a16:creationId xmlns:a16="http://schemas.microsoft.com/office/drawing/2014/main" id="{61E028D3-E64D-4A00-B61A-2ACA4DAE3974}"/>
              </a:ext>
            </a:extLst>
          </xdr:cNvPr>
          <xdr:cNvSpPr/>
        </xdr:nvSpPr>
        <xdr:spPr>
          <a:xfrm>
            <a:off x="1300163" y="1295399"/>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53" name="Rectangle 5152">
            <a:extLst>
              <a:ext uri="{FF2B5EF4-FFF2-40B4-BE49-F238E27FC236}">
                <a16:creationId xmlns:a16="http://schemas.microsoft.com/office/drawing/2014/main" id="{24054682-71B8-476C-B447-C444A6BC8A78}"/>
              </a:ext>
            </a:extLst>
          </xdr:cNvPr>
          <xdr:cNvSpPr/>
        </xdr:nvSpPr>
        <xdr:spPr>
          <a:xfrm>
            <a:off x="1300163" y="1423987"/>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576604</xdr:colOff>
      <xdr:row>37</xdr:row>
      <xdr:rowOff>50009</xdr:rowOff>
    </xdr:from>
    <xdr:to>
      <xdr:col>20</xdr:col>
      <xdr:colOff>407535</xdr:colOff>
      <xdr:row>37</xdr:row>
      <xdr:rowOff>50009</xdr:rowOff>
    </xdr:to>
    <xdr:cxnSp macro="">
      <xdr:nvCxnSpPr>
        <xdr:cNvPr id="5157" name="Straight Connector 5156">
          <a:extLst>
            <a:ext uri="{FF2B5EF4-FFF2-40B4-BE49-F238E27FC236}">
              <a16:creationId xmlns:a16="http://schemas.microsoft.com/office/drawing/2014/main" id="{D8617F69-6AD3-497E-A058-9FC8F116D443}"/>
            </a:ext>
          </a:extLst>
        </xdr:cNvPr>
        <xdr:cNvCxnSpPr/>
      </xdr:nvCxnSpPr>
      <xdr:spPr>
        <a:xfrm flipH="1">
          <a:off x="3025890" y="6091580"/>
          <a:ext cx="962807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250028</xdr:colOff>
      <xdr:row>23</xdr:row>
      <xdr:rowOff>47625</xdr:rowOff>
    </xdr:from>
    <xdr:to>
      <xdr:col>7</xdr:col>
      <xdr:colOff>100010</xdr:colOff>
      <xdr:row>26</xdr:row>
      <xdr:rowOff>4763</xdr:rowOff>
    </xdr:to>
    <xdr:pic>
      <xdr:nvPicPr>
        <xdr:cNvPr id="5162" name="Graphic 5161" descr="Database">
          <a:extLst>
            <a:ext uri="{FF2B5EF4-FFF2-40B4-BE49-F238E27FC236}">
              <a16:creationId xmlns:a16="http://schemas.microsoft.com/office/drawing/2014/main" id="{4BC2113E-0E7D-0B53-F290-EE112E01C8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93341" y="3881438"/>
          <a:ext cx="457200" cy="457200"/>
        </a:xfrm>
        <a:prstGeom prst="rect">
          <a:avLst/>
        </a:prstGeom>
      </xdr:spPr>
    </xdr:pic>
    <xdr:clientData/>
  </xdr:twoCellAnchor>
  <xdr:twoCellAnchor editAs="oneCell">
    <xdr:from>
      <xdr:col>6</xdr:col>
      <xdr:colOff>216333</xdr:colOff>
      <xdr:row>27</xdr:row>
      <xdr:rowOff>32638</xdr:rowOff>
    </xdr:from>
    <xdr:to>
      <xdr:col>7</xdr:col>
      <xdr:colOff>66315</xdr:colOff>
      <xdr:row>29</xdr:row>
      <xdr:rowOff>153061</xdr:rowOff>
    </xdr:to>
    <xdr:pic>
      <xdr:nvPicPr>
        <xdr:cNvPr id="5166" name="Graphic 5165" descr="Clipboard">
          <a:extLst>
            <a:ext uri="{FF2B5EF4-FFF2-40B4-BE49-F238E27FC236}">
              <a16:creationId xmlns:a16="http://schemas.microsoft.com/office/drawing/2014/main" id="{6E69CF7B-6120-E954-8271-6CC6A8A628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90262" y="4441352"/>
          <a:ext cx="462303" cy="446995"/>
        </a:xfrm>
        <a:prstGeom prst="rect">
          <a:avLst/>
        </a:prstGeom>
      </xdr:spPr>
    </xdr:pic>
    <xdr:clientData/>
  </xdr:twoCellAnchor>
  <xdr:twoCellAnchor editAs="oneCell">
    <xdr:from>
      <xdr:col>6</xdr:col>
      <xdr:colOff>204108</xdr:colOff>
      <xdr:row>31</xdr:row>
      <xdr:rowOff>13608</xdr:rowOff>
    </xdr:from>
    <xdr:to>
      <xdr:col>7</xdr:col>
      <xdr:colOff>44223</xdr:colOff>
      <xdr:row>33</xdr:row>
      <xdr:rowOff>132669</xdr:rowOff>
    </xdr:to>
    <xdr:pic>
      <xdr:nvPicPr>
        <xdr:cNvPr id="5168" name="Graphic 5167" descr="Presentation with pie chart">
          <a:extLst>
            <a:ext uri="{FF2B5EF4-FFF2-40B4-BE49-F238E27FC236}">
              <a16:creationId xmlns:a16="http://schemas.microsoft.com/office/drawing/2014/main" id="{992208C6-1ABF-C2DD-C0C7-60766FB738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78037" y="5075465"/>
          <a:ext cx="452436" cy="445633"/>
        </a:xfrm>
        <a:prstGeom prst="rect">
          <a:avLst/>
        </a:prstGeom>
      </xdr:spPr>
    </xdr:pic>
    <xdr:clientData/>
  </xdr:twoCellAnchor>
  <xdr:twoCellAnchor>
    <xdr:from>
      <xdr:col>7</xdr:col>
      <xdr:colOff>476251</xdr:colOff>
      <xdr:row>2</xdr:row>
      <xdr:rowOff>102054</xdr:rowOff>
    </xdr:from>
    <xdr:to>
      <xdr:col>19</xdr:col>
      <xdr:colOff>81643</xdr:colOff>
      <xdr:row>4</xdr:row>
      <xdr:rowOff>107155</xdr:rowOff>
    </xdr:to>
    <xdr:grpSp>
      <xdr:nvGrpSpPr>
        <xdr:cNvPr id="5187" name="Group 5186">
          <a:extLst>
            <a:ext uri="{FF2B5EF4-FFF2-40B4-BE49-F238E27FC236}">
              <a16:creationId xmlns:a16="http://schemas.microsoft.com/office/drawing/2014/main" id="{F8A72EBF-3AD8-63E6-4BCA-580AED5EBE2D}"/>
            </a:ext>
          </a:extLst>
        </xdr:cNvPr>
        <xdr:cNvGrpSpPr/>
      </xdr:nvGrpSpPr>
      <xdr:grpSpPr>
        <a:xfrm>
          <a:off x="4726782" y="435429"/>
          <a:ext cx="6892017" cy="338476"/>
          <a:chOff x="4726782" y="649743"/>
          <a:chExt cx="6892017" cy="338476"/>
        </a:xfrm>
      </xdr:grpSpPr>
      <xdr:sp macro="" textlink="">
        <xdr:nvSpPr>
          <xdr:cNvPr id="5155" name="TextBox 5154">
            <a:extLst>
              <a:ext uri="{FF2B5EF4-FFF2-40B4-BE49-F238E27FC236}">
                <a16:creationId xmlns:a16="http://schemas.microsoft.com/office/drawing/2014/main" id="{53AE0FB1-1624-8789-197E-D4647C28890E}"/>
              </a:ext>
            </a:extLst>
          </xdr:cNvPr>
          <xdr:cNvSpPr txBox="1"/>
        </xdr:nvSpPr>
        <xdr:spPr>
          <a:xfrm>
            <a:off x="4726782" y="678656"/>
            <a:ext cx="2500312"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Lucida Console" panose="020B0609040504020204" pitchFamily="49" charset="0"/>
              </a:rPr>
              <a:t>Amaefule</a:t>
            </a:r>
            <a:r>
              <a:rPr lang="en-US" sz="1800" b="1" baseline="0">
                <a:solidFill>
                  <a:schemeClr val="bg1"/>
                </a:solidFill>
                <a:latin typeface="Lucida Console" panose="020B0609040504020204" pitchFamily="49" charset="0"/>
              </a:rPr>
              <a:t> Store®</a:t>
            </a:r>
            <a:endParaRPr lang="en-US" sz="1800" b="1">
              <a:solidFill>
                <a:schemeClr val="bg1"/>
              </a:solidFill>
              <a:latin typeface="Lucida Console" panose="020B0609040504020204" pitchFamily="49" charset="0"/>
            </a:endParaRPr>
          </a:p>
        </xdr:txBody>
      </xdr:sp>
      <xdr:sp macro="" textlink="">
        <xdr:nvSpPr>
          <xdr:cNvPr id="5156" name="Rectangle: Rounded Corners 5155">
            <a:extLst>
              <a:ext uri="{FF2B5EF4-FFF2-40B4-BE49-F238E27FC236}">
                <a16:creationId xmlns:a16="http://schemas.microsoft.com/office/drawing/2014/main" id="{BEBCCD01-7DF7-89A0-C297-1780404FB487}"/>
              </a:ext>
            </a:extLst>
          </xdr:cNvPr>
          <xdr:cNvSpPr/>
        </xdr:nvSpPr>
        <xdr:spPr>
          <a:xfrm>
            <a:off x="7655718" y="726281"/>
            <a:ext cx="2405063" cy="190500"/>
          </a:xfrm>
          <a:prstGeom prst="roundRect">
            <a:avLst>
              <a:gd name="adj" fmla="val 5000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175" name="Group 5174">
            <a:extLst>
              <a:ext uri="{FF2B5EF4-FFF2-40B4-BE49-F238E27FC236}">
                <a16:creationId xmlns:a16="http://schemas.microsoft.com/office/drawing/2014/main" id="{6CCB9871-ABE1-81A5-AAE4-849BBEC9A4D0}"/>
              </a:ext>
            </a:extLst>
          </xdr:cNvPr>
          <xdr:cNvGrpSpPr/>
        </xdr:nvGrpSpPr>
        <xdr:grpSpPr>
          <a:xfrm>
            <a:off x="11038792" y="649743"/>
            <a:ext cx="182880" cy="281123"/>
            <a:chOff x="13471071" y="680357"/>
            <a:chExt cx="435430" cy="544287"/>
          </a:xfrm>
        </xdr:grpSpPr>
        <xdr:pic>
          <xdr:nvPicPr>
            <xdr:cNvPr id="5170" name="Graphic 5169" descr="Ringer">
              <a:extLst>
                <a:ext uri="{FF2B5EF4-FFF2-40B4-BE49-F238E27FC236}">
                  <a16:creationId xmlns:a16="http://schemas.microsoft.com/office/drawing/2014/main" id="{381FE7E7-4A4A-310F-C4BD-7DB7EEEF3E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71071" y="816429"/>
              <a:ext cx="408215" cy="408215"/>
            </a:xfrm>
            <a:prstGeom prst="rect">
              <a:avLst/>
            </a:prstGeom>
          </xdr:spPr>
        </xdr:pic>
        <xdr:grpSp>
          <xdr:nvGrpSpPr>
            <xdr:cNvPr id="5174" name="Group 5173">
              <a:extLst>
                <a:ext uri="{FF2B5EF4-FFF2-40B4-BE49-F238E27FC236}">
                  <a16:creationId xmlns:a16="http://schemas.microsoft.com/office/drawing/2014/main" id="{780A6190-40AB-A234-28DC-57674533EACE}"/>
                </a:ext>
              </a:extLst>
            </xdr:cNvPr>
            <xdr:cNvGrpSpPr/>
          </xdr:nvGrpSpPr>
          <xdr:grpSpPr>
            <a:xfrm>
              <a:off x="13647966" y="680357"/>
              <a:ext cx="258535" cy="299356"/>
              <a:chOff x="15444107" y="2408464"/>
              <a:chExt cx="762000" cy="762000"/>
            </a:xfrm>
          </xdr:grpSpPr>
          <xdr:sp macro="" textlink="">
            <xdr:nvSpPr>
              <xdr:cNvPr id="5173" name="Oval 5172">
                <a:extLst>
                  <a:ext uri="{FF2B5EF4-FFF2-40B4-BE49-F238E27FC236}">
                    <a16:creationId xmlns:a16="http://schemas.microsoft.com/office/drawing/2014/main" id="{ECB71E44-FB88-27DC-1903-200DC1B2A473}"/>
                  </a:ext>
                </a:extLst>
              </xdr:cNvPr>
              <xdr:cNvSpPr/>
            </xdr:nvSpPr>
            <xdr:spPr>
              <a:xfrm>
                <a:off x="15444107" y="2408464"/>
                <a:ext cx="762000" cy="76200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400" b="1">
                  <a:latin typeface="Bodoni MT Black" panose="02070A03080606020203" pitchFamily="18" charset="0"/>
                </a:endParaRPr>
              </a:p>
            </xdr:txBody>
          </xdr:sp>
          <xdr:sp macro="" textlink="">
            <xdr:nvSpPr>
              <xdr:cNvPr id="5172" name="TextBox 5171">
                <a:extLst>
                  <a:ext uri="{FF2B5EF4-FFF2-40B4-BE49-F238E27FC236}">
                    <a16:creationId xmlns:a16="http://schemas.microsoft.com/office/drawing/2014/main" id="{A1708833-5603-20E9-6306-D6573DD5FBD2}"/>
                  </a:ext>
                </a:extLst>
              </xdr:cNvPr>
              <xdr:cNvSpPr txBox="1"/>
            </xdr:nvSpPr>
            <xdr:spPr>
              <a:xfrm>
                <a:off x="15689036" y="2612570"/>
                <a:ext cx="285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Bodoni MT Black" panose="02070A03080606020203" pitchFamily="18" charset="0"/>
                  </a:rPr>
                  <a:t>3</a:t>
                </a:r>
              </a:p>
            </xdr:txBody>
          </xdr:sp>
        </xdr:grpSp>
      </xdr:grpSp>
      <xdr:grpSp>
        <xdr:nvGrpSpPr>
          <xdr:cNvPr id="5179" name="Group 5178">
            <a:extLst>
              <a:ext uri="{FF2B5EF4-FFF2-40B4-BE49-F238E27FC236}">
                <a16:creationId xmlns:a16="http://schemas.microsoft.com/office/drawing/2014/main" id="{F1989AEF-111B-BB30-1A02-F15CCABA4224}"/>
              </a:ext>
            </a:extLst>
          </xdr:cNvPr>
          <xdr:cNvGrpSpPr/>
        </xdr:nvGrpSpPr>
        <xdr:grpSpPr>
          <a:xfrm>
            <a:off x="11297330" y="779690"/>
            <a:ext cx="321469" cy="80962"/>
            <a:chOff x="13171714" y="1827439"/>
            <a:chExt cx="495304" cy="149679"/>
          </a:xfrm>
          <a:solidFill>
            <a:schemeClr val="bg1"/>
          </a:solidFill>
        </xdr:grpSpPr>
        <xdr:sp macro="" textlink="">
          <xdr:nvSpPr>
            <xdr:cNvPr id="5176" name="Oval 5175">
              <a:extLst>
                <a:ext uri="{FF2B5EF4-FFF2-40B4-BE49-F238E27FC236}">
                  <a16:creationId xmlns:a16="http://schemas.microsoft.com/office/drawing/2014/main" id="{AFAB9D59-3C39-94CE-3663-405EC7D6A698}"/>
                </a:ext>
              </a:extLst>
            </xdr:cNvPr>
            <xdr:cNvSpPr/>
          </xdr:nvSpPr>
          <xdr:spPr>
            <a:xfrm>
              <a:off x="13171714"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177" name="Oval 5176">
              <a:extLst>
                <a:ext uri="{FF2B5EF4-FFF2-40B4-BE49-F238E27FC236}">
                  <a16:creationId xmlns:a16="http://schemas.microsoft.com/office/drawing/2014/main" id="{4CA46C5C-9853-4670-9E18-09B04C451905}"/>
                </a:ext>
              </a:extLst>
            </xdr:cNvPr>
            <xdr:cNvSpPr/>
          </xdr:nvSpPr>
          <xdr:spPr>
            <a:xfrm>
              <a:off x="13351330"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178" name="Oval 5177">
              <a:extLst>
                <a:ext uri="{FF2B5EF4-FFF2-40B4-BE49-F238E27FC236}">
                  <a16:creationId xmlns:a16="http://schemas.microsoft.com/office/drawing/2014/main" id="{A73BC59C-D7B7-4485-87E6-82B2FDC76FDF}"/>
                </a:ext>
              </a:extLst>
            </xdr:cNvPr>
            <xdr:cNvSpPr/>
          </xdr:nvSpPr>
          <xdr:spPr>
            <a:xfrm>
              <a:off x="13530946"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clientData/>
  </xdr:twoCellAnchor>
  <xdr:twoCellAnchor>
    <xdr:from>
      <xdr:col>8</xdr:col>
      <xdr:colOff>89648</xdr:colOff>
      <xdr:row>8</xdr:row>
      <xdr:rowOff>81643</xdr:rowOff>
    </xdr:from>
    <xdr:to>
      <xdr:col>10</xdr:col>
      <xdr:colOff>595161</xdr:colOff>
      <xdr:row>9</xdr:row>
      <xdr:rowOff>123265</xdr:rowOff>
    </xdr:to>
    <xdr:sp macro="" textlink="">
      <xdr:nvSpPr>
        <xdr:cNvPr id="5181" name="TextBox 5180">
          <a:extLst>
            <a:ext uri="{FF2B5EF4-FFF2-40B4-BE49-F238E27FC236}">
              <a16:creationId xmlns:a16="http://schemas.microsoft.com/office/drawing/2014/main" id="{836F8E7F-0BCB-0792-0B96-939E9D791206}"/>
            </a:ext>
          </a:extLst>
        </xdr:cNvPr>
        <xdr:cNvSpPr txBox="1"/>
      </xdr:nvSpPr>
      <xdr:spPr>
        <a:xfrm flipH="1">
          <a:off x="4930589" y="1336702"/>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Months</a:t>
          </a:r>
          <a:endParaRPr lang="en-US" sz="1050">
            <a:latin typeface="Lucida Console" panose="020B0609040504020204" pitchFamily="49" charset="0"/>
          </a:endParaRPr>
        </a:p>
      </xdr:txBody>
    </xdr:sp>
    <xdr:clientData/>
  </xdr:twoCellAnchor>
  <xdr:twoCellAnchor>
    <xdr:from>
      <xdr:col>13</xdr:col>
      <xdr:colOff>600637</xdr:colOff>
      <xdr:row>8</xdr:row>
      <xdr:rowOff>88367</xdr:rowOff>
    </xdr:from>
    <xdr:to>
      <xdr:col>16</xdr:col>
      <xdr:colOff>501032</xdr:colOff>
      <xdr:row>9</xdr:row>
      <xdr:rowOff>129989</xdr:rowOff>
    </xdr:to>
    <xdr:sp macro="" textlink="">
      <xdr:nvSpPr>
        <xdr:cNvPr id="5182" name="TextBox 5181">
          <a:extLst>
            <a:ext uri="{FF2B5EF4-FFF2-40B4-BE49-F238E27FC236}">
              <a16:creationId xmlns:a16="http://schemas.microsoft.com/office/drawing/2014/main" id="{E085ADA3-3BA3-460D-B717-41095E7647AB}"/>
            </a:ext>
          </a:extLst>
        </xdr:cNvPr>
        <xdr:cNvSpPr txBox="1"/>
      </xdr:nvSpPr>
      <xdr:spPr>
        <a:xfrm flipH="1">
          <a:off x="8467166" y="1343426"/>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Cities</a:t>
          </a:r>
          <a:endParaRPr lang="en-US" sz="1050">
            <a:latin typeface="Lucida Console" panose="020B0609040504020204" pitchFamily="49" charset="0"/>
          </a:endParaRPr>
        </a:p>
      </xdr:txBody>
    </xdr:sp>
    <xdr:clientData/>
  </xdr:twoCellAnchor>
  <xdr:twoCellAnchor>
    <xdr:from>
      <xdr:col>8</xdr:col>
      <xdr:colOff>13448</xdr:colOff>
      <xdr:row>19</xdr:row>
      <xdr:rowOff>27855</xdr:rowOff>
    </xdr:from>
    <xdr:to>
      <xdr:col>10</xdr:col>
      <xdr:colOff>518961</xdr:colOff>
      <xdr:row>20</xdr:row>
      <xdr:rowOff>69477</xdr:rowOff>
    </xdr:to>
    <xdr:sp macro="" textlink="">
      <xdr:nvSpPr>
        <xdr:cNvPr id="5183" name="TextBox 5182">
          <a:extLst>
            <a:ext uri="{FF2B5EF4-FFF2-40B4-BE49-F238E27FC236}">
              <a16:creationId xmlns:a16="http://schemas.microsoft.com/office/drawing/2014/main" id="{37C4CD28-FFFD-43C6-B877-331F24181CBD}"/>
            </a:ext>
          </a:extLst>
        </xdr:cNvPr>
        <xdr:cNvSpPr txBox="1"/>
      </xdr:nvSpPr>
      <xdr:spPr>
        <a:xfrm flipH="1">
          <a:off x="4854389" y="3008620"/>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11</xdr:col>
      <xdr:colOff>602877</xdr:colOff>
      <xdr:row>19</xdr:row>
      <xdr:rowOff>45784</xdr:rowOff>
    </xdr:from>
    <xdr:to>
      <xdr:col>14</xdr:col>
      <xdr:colOff>503272</xdr:colOff>
      <xdr:row>20</xdr:row>
      <xdr:rowOff>87406</xdr:rowOff>
    </xdr:to>
    <xdr:sp macro="" textlink="">
      <xdr:nvSpPr>
        <xdr:cNvPr id="5184" name="TextBox 5183">
          <a:extLst>
            <a:ext uri="{FF2B5EF4-FFF2-40B4-BE49-F238E27FC236}">
              <a16:creationId xmlns:a16="http://schemas.microsoft.com/office/drawing/2014/main" id="{782FBF83-C2C4-4DA1-B9E6-80416597B0B2}"/>
            </a:ext>
          </a:extLst>
        </xdr:cNvPr>
        <xdr:cNvSpPr txBox="1"/>
      </xdr:nvSpPr>
      <xdr:spPr>
        <a:xfrm flipH="1">
          <a:off x="7259171" y="3026549"/>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Months</a:t>
          </a:r>
          <a:endParaRPr lang="en-US" sz="900">
            <a:latin typeface="Lucida Console" panose="020B0609040504020204" pitchFamily="49" charset="0"/>
          </a:endParaRPr>
        </a:p>
      </xdr:txBody>
    </xdr:sp>
    <xdr:clientData/>
  </xdr:twoCellAnchor>
  <xdr:twoCellAnchor>
    <xdr:from>
      <xdr:col>8</xdr:col>
      <xdr:colOff>38100</xdr:colOff>
      <xdr:row>27</xdr:row>
      <xdr:rowOff>130948</xdr:rowOff>
    </xdr:from>
    <xdr:to>
      <xdr:col>10</xdr:col>
      <xdr:colOff>543613</xdr:colOff>
      <xdr:row>29</xdr:row>
      <xdr:rowOff>15688</xdr:rowOff>
    </xdr:to>
    <xdr:sp macro="" textlink="">
      <xdr:nvSpPr>
        <xdr:cNvPr id="5185" name="TextBox 5184">
          <a:extLst>
            <a:ext uri="{FF2B5EF4-FFF2-40B4-BE49-F238E27FC236}">
              <a16:creationId xmlns:a16="http://schemas.microsoft.com/office/drawing/2014/main" id="{7065EBAE-56C4-4E8F-9C74-0CCAB87965F8}"/>
            </a:ext>
          </a:extLst>
        </xdr:cNvPr>
        <xdr:cNvSpPr txBox="1"/>
      </xdr:nvSpPr>
      <xdr:spPr>
        <a:xfrm flipH="1">
          <a:off x="4879041" y="4366772"/>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12</xdr:col>
      <xdr:colOff>22412</xdr:colOff>
      <xdr:row>27</xdr:row>
      <xdr:rowOff>126466</xdr:rowOff>
    </xdr:from>
    <xdr:to>
      <xdr:col>14</xdr:col>
      <xdr:colOff>527925</xdr:colOff>
      <xdr:row>29</xdr:row>
      <xdr:rowOff>11206</xdr:rowOff>
    </xdr:to>
    <xdr:sp macro="" textlink="">
      <xdr:nvSpPr>
        <xdr:cNvPr id="5186" name="TextBox 5185">
          <a:extLst>
            <a:ext uri="{FF2B5EF4-FFF2-40B4-BE49-F238E27FC236}">
              <a16:creationId xmlns:a16="http://schemas.microsoft.com/office/drawing/2014/main" id="{A80832B1-3FE7-4196-A753-A44EDE6845C3}"/>
            </a:ext>
          </a:extLst>
        </xdr:cNvPr>
        <xdr:cNvSpPr txBox="1"/>
      </xdr:nvSpPr>
      <xdr:spPr>
        <a:xfrm flipH="1">
          <a:off x="7283824" y="4362290"/>
          <a:ext cx="1715748" cy="19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Sales-Rep</a:t>
          </a:r>
          <a:endParaRPr lang="en-US" sz="900">
            <a:latin typeface="Lucida Console" panose="020B0609040504020204" pitchFamily="49" charset="0"/>
          </a:endParaRPr>
        </a:p>
      </xdr:txBody>
    </xdr:sp>
    <xdr:clientData/>
  </xdr:twoCellAnchor>
  <xdr:twoCellAnchor editAs="oneCell">
    <xdr:from>
      <xdr:col>16</xdr:col>
      <xdr:colOff>142874</xdr:colOff>
      <xdr:row>3</xdr:row>
      <xdr:rowOff>11907</xdr:rowOff>
    </xdr:from>
    <xdr:to>
      <xdr:col>16</xdr:col>
      <xdr:colOff>309561</xdr:colOff>
      <xdr:row>4</xdr:row>
      <xdr:rowOff>11907</xdr:rowOff>
    </xdr:to>
    <xdr:pic>
      <xdr:nvPicPr>
        <xdr:cNvPr id="5160" name="Graphic 5159" descr="Magnifying glass">
          <a:extLst>
            <a:ext uri="{FF2B5EF4-FFF2-40B4-BE49-F238E27FC236}">
              <a16:creationId xmlns:a16="http://schemas.microsoft.com/office/drawing/2014/main" id="{7BE9DA54-653B-F8CE-76B0-23908C9E4A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58374" y="511970"/>
          <a:ext cx="166687" cy="166687"/>
        </a:xfrm>
        <a:prstGeom prst="rect">
          <a:avLst/>
        </a:prstGeom>
      </xdr:spPr>
    </xdr:pic>
    <xdr:clientData/>
  </xdr:twoCellAnchor>
  <xdr:twoCellAnchor>
    <xdr:from>
      <xdr:col>7</xdr:col>
      <xdr:colOff>489556</xdr:colOff>
      <xdr:row>4</xdr:row>
      <xdr:rowOff>146075</xdr:rowOff>
    </xdr:from>
    <xdr:to>
      <xdr:col>13</xdr:col>
      <xdr:colOff>535779</xdr:colOff>
      <xdr:row>6</xdr:row>
      <xdr:rowOff>47623</xdr:rowOff>
    </xdr:to>
    <xdr:sp macro="" textlink="">
      <xdr:nvSpPr>
        <xdr:cNvPr id="5188" name="TextBox 5187">
          <a:extLst>
            <a:ext uri="{FF2B5EF4-FFF2-40B4-BE49-F238E27FC236}">
              <a16:creationId xmlns:a16="http://schemas.microsoft.com/office/drawing/2014/main" id="{5332426C-A14D-4144-915A-8FE89B598F16}"/>
            </a:ext>
          </a:extLst>
        </xdr:cNvPr>
        <xdr:cNvSpPr txBox="1"/>
      </xdr:nvSpPr>
      <xdr:spPr>
        <a:xfrm flipH="1">
          <a:off x="4740087" y="812825"/>
          <a:ext cx="3689536" cy="23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Lucida Console" panose="020B0609040504020204" pitchFamily="49" charset="0"/>
            </a:rPr>
            <a:t>How is our sales performing?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376237</xdr:colOff>
      <xdr:row>1</xdr:row>
      <xdr:rowOff>95248</xdr:rowOff>
    </xdr:from>
    <xdr:to>
      <xdr:col>19</xdr:col>
      <xdr:colOff>535781</xdr:colOff>
      <xdr:row>35</xdr:row>
      <xdr:rowOff>166686</xdr:rowOff>
    </xdr:to>
    <xdr:sp macro="" textlink="">
      <xdr:nvSpPr>
        <xdr:cNvPr id="2" name="Rectangle 1">
          <a:extLst>
            <a:ext uri="{FF2B5EF4-FFF2-40B4-BE49-F238E27FC236}">
              <a16:creationId xmlns:a16="http://schemas.microsoft.com/office/drawing/2014/main" id="{AC21613B-920E-4426-AA41-E09A8C541FD6}"/>
            </a:ext>
          </a:extLst>
        </xdr:cNvPr>
        <xdr:cNvSpPr/>
      </xdr:nvSpPr>
      <xdr:spPr>
        <a:xfrm>
          <a:off x="4643437" y="257173"/>
          <a:ext cx="7474744" cy="5576888"/>
        </a:xfrm>
        <a:prstGeom prst="rect">
          <a:avLst/>
        </a:prstGeom>
        <a:solidFill>
          <a:srgbClr val="EAE9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1</xdr:row>
      <xdr:rowOff>92867</xdr:rowOff>
    </xdr:from>
    <xdr:to>
      <xdr:col>7</xdr:col>
      <xdr:colOff>369095</xdr:colOff>
      <xdr:row>35</xdr:row>
      <xdr:rowOff>164305</xdr:rowOff>
    </xdr:to>
    <xdr:sp macro="" textlink="">
      <xdr:nvSpPr>
        <xdr:cNvPr id="3" name="Rectangle 2">
          <a:extLst>
            <a:ext uri="{FF2B5EF4-FFF2-40B4-BE49-F238E27FC236}">
              <a16:creationId xmlns:a16="http://schemas.microsoft.com/office/drawing/2014/main" id="{0BD57AA0-1748-4E1B-ABEC-B2153A3D3A4D}"/>
            </a:ext>
          </a:extLst>
        </xdr:cNvPr>
        <xdr:cNvSpPr/>
      </xdr:nvSpPr>
      <xdr:spPr>
        <a:xfrm>
          <a:off x="3524250" y="254792"/>
          <a:ext cx="1112045" cy="557688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373856</xdr:colOff>
      <xdr:row>1</xdr:row>
      <xdr:rowOff>92867</xdr:rowOff>
    </xdr:from>
    <xdr:to>
      <xdr:col>19</xdr:col>
      <xdr:colOff>533400</xdr:colOff>
      <xdr:row>7</xdr:row>
      <xdr:rowOff>47625</xdr:rowOff>
    </xdr:to>
    <xdr:sp macro="" textlink="">
      <xdr:nvSpPr>
        <xdr:cNvPr id="4" name="Rectangle 3">
          <a:extLst>
            <a:ext uri="{FF2B5EF4-FFF2-40B4-BE49-F238E27FC236}">
              <a16:creationId xmlns:a16="http://schemas.microsoft.com/office/drawing/2014/main" id="{9EBB626B-6735-4027-81B8-4351E54E91D5}"/>
            </a:ext>
          </a:extLst>
        </xdr:cNvPr>
        <xdr:cNvSpPr/>
      </xdr:nvSpPr>
      <xdr:spPr>
        <a:xfrm>
          <a:off x="4641056" y="254792"/>
          <a:ext cx="7474744" cy="926308"/>
        </a:xfrm>
        <a:prstGeom prst="rect">
          <a:avLst/>
        </a:prstGeom>
        <a:solidFill>
          <a:srgbClr val="7538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428625</xdr:colOff>
      <xdr:row>19</xdr:row>
      <xdr:rowOff>9530</xdr:rowOff>
    </xdr:from>
    <xdr:to>
      <xdr:col>19</xdr:col>
      <xdr:colOff>178593</xdr:colOff>
      <xdr:row>22</xdr:row>
      <xdr:rowOff>142876</xdr:rowOff>
    </xdr:to>
    <xdr:grpSp>
      <xdr:nvGrpSpPr>
        <xdr:cNvPr id="5" name="Group 4">
          <a:extLst>
            <a:ext uri="{FF2B5EF4-FFF2-40B4-BE49-F238E27FC236}">
              <a16:creationId xmlns:a16="http://schemas.microsoft.com/office/drawing/2014/main" id="{FA4F4393-B712-4B55-82EB-34FC175B28C1}"/>
            </a:ext>
          </a:extLst>
        </xdr:cNvPr>
        <xdr:cNvGrpSpPr/>
      </xdr:nvGrpSpPr>
      <xdr:grpSpPr>
        <a:xfrm>
          <a:off x="9613446" y="3111959"/>
          <a:ext cx="2199254" cy="623203"/>
          <a:chOff x="8001003" y="2069310"/>
          <a:chExt cx="2591834" cy="633407"/>
        </a:xfrm>
      </xdr:grpSpPr>
      <xdr:sp macro="" textlink="">
        <xdr:nvSpPr>
          <xdr:cNvPr id="6" name="Rectangle: Top Corners Rounded 5">
            <a:extLst>
              <a:ext uri="{FF2B5EF4-FFF2-40B4-BE49-F238E27FC236}">
                <a16:creationId xmlns:a16="http://schemas.microsoft.com/office/drawing/2014/main" id="{E3AA5785-D6DC-0158-FA34-518F166A5269}"/>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1AF1ECEB-13D8-C78F-31A3-957201522236}"/>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xdr:colOff>
      <xdr:row>8</xdr:row>
      <xdr:rowOff>46433</xdr:rowOff>
    </xdr:from>
    <xdr:to>
      <xdr:col>13</xdr:col>
      <xdr:colOff>285750</xdr:colOff>
      <xdr:row>18</xdr:row>
      <xdr:rowOff>46434</xdr:rowOff>
    </xdr:to>
    <xdr:sp macro="" textlink="">
      <xdr:nvSpPr>
        <xdr:cNvPr id="8" name="Rectangle: Rounded Corners 7">
          <a:extLst>
            <a:ext uri="{FF2B5EF4-FFF2-40B4-BE49-F238E27FC236}">
              <a16:creationId xmlns:a16="http://schemas.microsoft.com/office/drawing/2014/main" id="{697A9038-C28D-4D97-84B6-CC40B953DA63}"/>
            </a:ext>
          </a:extLst>
        </xdr:cNvPr>
        <xdr:cNvSpPr/>
      </xdr:nvSpPr>
      <xdr:spPr>
        <a:xfrm>
          <a:off x="4888706" y="1341833"/>
          <a:ext cx="3321844"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521493</xdr:colOff>
      <xdr:row>8</xdr:row>
      <xdr:rowOff>46433</xdr:rowOff>
    </xdr:from>
    <xdr:to>
      <xdr:col>19</xdr:col>
      <xdr:colOff>188119</xdr:colOff>
      <xdr:row>18</xdr:row>
      <xdr:rowOff>46434</xdr:rowOff>
    </xdr:to>
    <xdr:sp macro="" textlink="">
      <xdr:nvSpPr>
        <xdr:cNvPr id="9" name="Rectangle: Rounded Corners 8">
          <a:extLst>
            <a:ext uri="{FF2B5EF4-FFF2-40B4-BE49-F238E27FC236}">
              <a16:creationId xmlns:a16="http://schemas.microsoft.com/office/drawing/2014/main" id="{CC9B0ED0-41EC-4932-A849-4A88C14B4AAC}"/>
            </a:ext>
          </a:extLst>
        </xdr:cNvPr>
        <xdr:cNvSpPr/>
      </xdr:nvSpPr>
      <xdr:spPr>
        <a:xfrm>
          <a:off x="8446293" y="1341833"/>
          <a:ext cx="3324226"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560325</xdr:colOff>
      <xdr:row>18</xdr:row>
      <xdr:rowOff>166226</xdr:rowOff>
    </xdr:from>
    <xdr:to>
      <xdr:col>15</xdr:col>
      <xdr:colOff>265051</xdr:colOff>
      <xdr:row>27</xdr:row>
      <xdr:rowOff>11907</xdr:rowOff>
    </xdr:to>
    <xdr:sp macro="" textlink="">
      <xdr:nvSpPr>
        <xdr:cNvPr id="10" name="Rectangle: Rounded Corners 9">
          <a:extLst>
            <a:ext uri="{FF2B5EF4-FFF2-40B4-BE49-F238E27FC236}">
              <a16:creationId xmlns:a16="http://schemas.microsoft.com/office/drawing/2014/main" id="{1A8D4C56-A7EE-404F-BD86-3E69EA5EA976}"/>
            </a:ext>
          </a:extLst>
        </xdr:cNvPr>
        <xdr:cNvSpPr/>
      </xdr:nvSpPr>
      <xdr:spPr>
        <a:xfrm>
          <a:off x="7265925" y="3080876"/>
          <a:ext cx="2143126"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23</xdr:row>
      <xdr:rowOff>30961</xdr:rowOff>
    </xdr:from>
    <xdr:to>
      <xdr:col>19</xdr:col>
      <xdr:colOff>188118</xdr:colOff>
      <xdr:row>27</xdr:row>
      <xdr:rowOff>3115</xdr:rowOff>
    </xdr:to>
    <xdr:grpSp>
      <xdr:nvGrpSpPr>
        <xdr:cNvPr id="11" name="Group 10">
          <a:extLst>
            <a:ext uri="{FF2B5EF4-FFF2-40B4-BE49-F238E27FC236}">
              <a16:creationId xmlns:a16="http://schemas.microsoft.com/office/drawing/2014/main" id="{0D2B116B-4C4E-4849-96A6-A19A3398394B}"/>
            </a:ext>
          </a:extLst>
        </xdr:cNvPr>
        <xdr:cNvGrpSpPr/>
      </xdr:nvGrpSpPr>
      <xdr:grpSpPr>
        <a:xfrm>
          <a:off x="9622971" y="3786532"/>
          <a:ext cx="2199254" cy="625297"/>
          <a:chOff x="8001003" y="2069310"/>
          <a:chExt cx="2591834" cy="633407"/>
        </a:xfrm>
      </xdr:grpSpPr>
      <xdr:sp macro="" textlink="">
        <xdr:nvSpPr>
          <xdr:cNvPr id="12" name="Rectangle: Top Corners Rounded 11">
            <a:extLst>
              <a:ext uri="{FF2B5EF4-FFF2-40B4-BE49-F238E27FC236}">
                <a16:creationId xmlns:a16="http://schemas.microsoft.com/office/drawing/2014/main" id="{00AC29A7-E5F1-B54E-8E87-6BA67741BCFB}"/>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E8AD4C65-C683-B7F4-8B44-74A890420C22}"/>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435768</xdr:colOff>
      <xdr:row>27</xdr:row>
      <xdr:rowOff>52393</xdr:rowOff>
    </xdr:from>
    <xdr:to>
      <xdr:col>19</xdr:col>
      <xdr:colOff>185736</xdr:colOff>
      <xdr:row>31</xdr:row>
      <xdr:rowOff>19051</xdr:rowOff>
    </xdr:to>
    <xdr:grpSp>
      <xdr:nvGrpSpPr>
        <xdr:cNvPr id="14" name="Group 13">
          <a:extLst>
            <a:ext uri="{FF2B5EF4-FFF2-40B4-BE49-F238E27FC236}">
              <a16:creationId xmlns:a16="http://schemas.microsoft.com/office/drawing/2014/main" id="{8DFBFBF6-B3D9-4B06-AE26-016A1F1091DD}"/>
            </a:ext>
          </a:extLst>
        </xdr:cNvPr>
        <xdr:cNvGrpSpPr/>
      </xdr:nvGrpSpPr>
      <xdr:grpSpPr>
        <a:xfrm>
          <a:off x="9620589" y="4461107"/>
          <a:ext cx="2199254" cy="619801"/>
          <a:chOff x="8001003" y="2069310"/>
          <a:chExt cx="2591834" cy="633407"/>
        </a:xfrm>
      </xdr:grpSpPr>
      <xdr:sp macro="" textlink="">
        <xdr:nvSpPr>
          <xdr:cNvPr id="15" name="Rectangle: Top Corners Rounded 14">
            <a:extLst>
              <a:ext uri="{FF2B5EF4-FFF2-40B4-BE49-F238E27FC236}">
                <a16:creationId xmlns:a16="http://schemas.microsoft.com/office/drawing/2014/main" id="{45E63390-D257-34CB-73B4-76A3886CA36C}"/>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692F3654-5944-B44D-D23B-0F29D090F408}"/>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445293</xdr:colOff>
      <xdr:row>31</xdr:row>
      <xdr:rowOff>73824</xdr:rowOff>
    </xdr:from>
    <xdr:to>
      <xdr:col>19</xdr:col>
      <xdr:colOff>195261</xdr:colOff>
      <xdr:row>35</xdr:row>
      <xdr:rowOff>40482</xdr:rowOff>
    </xdr:to>
    <xdr:grpSp>
      <xdr:nvGrpSpPr>
        <xdr:cNvPr id="17" name="Group 16">
          <a:extLst>
            <a:ext uri="{FF2B5EF4-FFF2-40B4-BE49-F238E27FC236}">
              <a16:creationId xmlns:a16="http://schemas.microsoft.com/office/drawing/2014/main" id="{1C4996C4-AA12-4316-A91A-5C6B07ABDCB7}"/>
            </a:ext>
          </a:extLst>
        </xdr:cNvPr>
        <xdr:cNvGrpSpPr/>
      </xdr:nvGrpSpPr>
      <xdr:grpSpPr>
        <a:xfrm>
          <a:off x="9630114" y="5135681"/>
          <a:ext cx="2199254" cy="619801"/>
          <a:chOff x="8001003" y="2069310"/>
          <a:chExt cx="2591834" cy="633407"/>
        </a:xfrm>
      </xdr:grpSpPr>
      <xdr:sp macro="" textlink="">
        <xdr:nvSpPr>
          <xdr:cNvPr id="18" name="Rectangle: Top Corners Rounded 17">
            <a:extLst>
              <a:ext uri="{FF2B5EF4-FFF2-40B4-BE49-F238E27FC236}">
                <a16:creationId xmlns:a16="http://schemas.microsoft.com/office/drawing/2014/main" id="{4C17A6BC-1C70-CF91-3F19-BE0D6E94B4AD}"/>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Top Corners Rounded 18">
            <a:extLst>
              <a:ext uri="{FF2B5EF4-FFF2-40B4-BE49-F238E27FC236}">
                <a16:creationId xmlns:a16="http://schemas.microsoft.com/office/drawing/2014/main" id="{27098C9B-7A1E-06EA-A452-A0FF134928D2}"/>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22162</xdr:colOff>
      <xdr:row>18</xdr:row>
      <xdr:rowOff>163845</xdr:rowOff>
    </xdr:from>
    <xdr:to>
      <xdr:col>11</xdr:col>
      <xdr:colOff>440531</xdr:colOff>
      <xdr:row>27</xdr:row>
      <xdr:rowOff>9526</xdr:rowOff>
    </xdr:to>
    <xdr:sp macro="" textlink="">
      <xdr:nvSpPr>
        <xdr:cNvPr id="20" name="Rectangle: Rounded Corners 19">
          <a:extLst>
            <a:ext uri="{FF2B5EF4-FFF2-40B4-BE49-F238E27FC236}">
              <a16:creationId xmlns:a16="http://schemas.microsoft.com/office/drawing/2014/main" id="{3CA9F32E-33CA-4802-9D2F-E272B3AE657E}"/>
            </a:ext>
          </a:extLst>
        </xdr:cNvPr>
        <xdr:cNvSpPr/>
      </xdr:nvSpPr>
      <xdr:spPr>
        <a:xfrm>
          <a:off x="4898962" y="3078495"/>
          <a:ext cx="2247169"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7874</xdr:colOff>
      <xdr:row>27</xdr:row>
      <xdr:rowOff>54306</xdr:rowOff>
    </xdr:from>
    <xdr:to>
      <xdr:col>11</xdr:col>
      <xdr:colOff>440531</xdr:colOff>
      <xdr:row>35</xdr:row>
      <xdr:rowOff>47624</xdr:rowOff>
    </xdr:to>
    <xdr:sp macro="" textlink="">
      <xdr:nvSpPr>
        <xdr:cNvPr id="21" name="Rectangle: Rounded Corners 20">
          <a:extLst>
            <a:ext uri="{FF2B5EF4-FFF2-40B4-BE49-F238E27FC236}">
              <a16:creationId xmlns:a16="http://schemas.microsoft.com/office/drawing/2014/main" id="{118C6DA5-0379-436E-9815-A5119C7A436E}"/>
            </a:ext>
          </a:extLst>
        </xdr:cNvPr>
        <xdr:cNvSpPr/>
      </xdr:nvSpPr>
      <xdr:spPr>
        <a:xfrm>
          <a:off x="4884674" y="4426281"/>
          <a:ext cx="2261457" cy="128871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565087</xdr:colOff>
      <xdr:row>27</xdr:row>
      <xdr:rowOff>63832</xdr:rowOff>
    </xdr:from>
    <xdr:to>
      <xdr:col>15</xdr:col>
      <xdr:colOff>269813</xdr:colOff>
      <xdr:row>35</xdr:row>
      <xdr:rowOff>35718</xdr:rowOff>
    </xdr:to>
    <xdr:sp macro="" textlink="">
      <xdr:nvSpPr>
        <xdr:cNvPr id="22" name="Rectangle: Rounded Corners 21">
          <a:extLst>
            <a:ext uri="{FF2B5EF4-FFF2-40B4-BE49-F238E27FC236}">
              <a16:creationId xmlns:a16="http://schemas.microsoft.com/office/drawing/2014/main" id="{4F54908D-E6B0-4EFD-8169-E0C1DCF39F0A}"/>
            </a:ext>
          </a:extLst>
        </xdr:cNvPr>
        <xdr:cNvSpPr/>
      </xdr:nvSpPr>
      <xdr:spPr>
        <a:xfrm>
          <a:off x="7270687" y="4435807"/>
          <a:ext cx="2143126" cy="126728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387804</xdr:colOff>
      <xdr:row>1</xdr:row>
      <xdr:rowOff>158183</xdr:rowOff>
    </xdr:from>
    <xdr:to>
      <xdr:col>20</xdr:col>
      <xdr:colOff>387804</xdr:colOff>
      <xdr:row>32</xdr:row>
      <xdr:rowOff>23472</xdr:rowOff>
    </xdr:to>
    <xdr:cxnSp macro="">
      <xdr:nvCxnSpPr>
        <xdr:cNvPr id="23" name="Straight Connector 22">
          <a:extLst>
            <a:ext uri="{FF2B5EF4-FFF2-40B4-BE49-F238E27FC236}">
              <a16:creationId xmlns:a16="http://schemas.microsoft.com/office/drawing/2014/main" id="{9D400E5F-587F-4010-B69A-22D8B8A399BE}"/>
            </a:ext>
          </a:extLst>
        </xdr:cNvPr>
        <xdr:cNvCxnSpPr/>
      </xdr:nvCxnSpPr>
      <xdr:spPr>
        <a:xfrm flipV="1">
          <a:off x="12579804" y="320108"/>
          <a:ext cx="0" cy="48849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180975</xdr:colOff>
      <xdr:row>3</xdr:row>
      <xdr:rowOff>59530</xdr:rowOff>
    </xdr:from>
    <xdr:to>
      <xdr:col>7</xdr:col>
      <xdr:colOff>14288</xdr:colOff>
      <xdr:row>5</xdr:row>
      <xdr:rowOff>66674</xdr:rowOff>
    </xdr:to>
    <xdr:grpSp>
      <xdr:nvGrpSpPr>
        <xdr:cNvPr id="24" name="Group 23">
          <a:extLst>
            <a:ext uri="{FF2B5EF4-FFF2-40B4-BE49-F238E27FC236}">
              <a16:creationId xmlns:a16="http://schemas.microsoft.com/office/drawing/2014/main" id="{B25BED07-FE15-469F-BDB1-E55459680736}"/>
            </a:ext>
          </a:extLst>
        </xdr:cNvPr>
        <xdr:cNvGrpSpPr/>
      </xdr:nvGrpSpPr>
      <xdr:grpSpPr>
        <a:xfrm>
          <a:off x="3854904" y="549387"/>
          <a:ext cx="445634" cy="333716"/>
          <a:chOff x="1300163" y="1166812"/>
          <a:chExt cx="440531" cy="340519"/>
        </a:xfrm>
      </xdr:grpSpPr>
      <xdr:sp macro="" textlink="">
        <xdr:nvSpPr>
          <xdr:cNvPr id="25" name="Rectangle 24">
            <a:extLst>
              <a:ext uri="{FF2B5EF4-FFF2-40B4-BE49-F238E27FC236}">
                <a16:creationId xmlns:a16="http://schemas.microsoft.com/office/drawing/2014/main" id="{486BBD30-139E-3A58-6573-9C25C024BB32}"/>
              </a:ext>
            </a:extLst>
          </xdr:cNvPr>
          <xdr:cNvSpPr/>
        </xdr:nvSpPr>
        <xdr:spPr>
          <a:xfrm>
            <a:off x="1300163" y="1166812"/>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E0E31446-FC63-DA24-5962-899ABC2034E9}"/>
              </a:ext>
            </a:extLst>
          </xdr:cNvPr>
          <xdr:cNvSpPr/>
        </xdr:nvSpPr>
        <xdr:spPr>
          <a:xfrm>
            <a:off x="1300163" y="1295399"/>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6CC397EA-7679-E57D-5598-276AA55E17B6}"/>
              </a:ext>
            </a:extLst>
          </xdr:cNvPr>
          <xdr:cNvSpPr/>
        </xdr:nvSpPr>
        <xdr:spPr>
          <a:xfrm>
            <a:off x="1300163" y="1423987"/>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576604</xdr:colOff>
      <xdr:row>37</xdr:row>
      <xdr:rowOff>50009</xdr:rowOff>
    </xdr:from>
    <xdr:to>
      <xdr:col>20</xdr:col>
      <xdr:colOff>407535</xdr:colOff>
      <xdr:row>37</xdr:row>
      <xdr:rowOff>50009</xdr:rowOff>
    </xdr:to>
    <xdr:cxnSp macro="">
      <xdr:nvCxnSpPr>
        <xdr:cNvPr id="28" name="Straight Connector 27">
          <a:extLst>
            <a:ext uri="{FF2B5EF4-FFF2-40B4-BE49-F238E27FC236}">
              <a16:creationId xmlns:a16="http://schemas.microsoft.com/office/drawing/2014/main" id="{308015CB-C07B-49CC-A337-53A65D2F5E9E}"/>
            </a:ext>
          </a:extLst>
        </xdr:cNvPr>
        <xdr:cNvCxnSpPr/>
      </xdr:nvCxnSpPr>
      <xdr:spPr>
        <a:xfrm flipH="1">
          <a:off x="3015004" y="6041234"/>
          <a:ext cx="958453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250028</xdr:colOff>
      <xdr:row>23</xdr:row>
      <xdr:rowOff>47625</xdr:rowOff>
    </xdr:from>
    <xdr:to>
      <xdr:col>7</xdr:col>
      <xdr:colOff>100010</xdr:colOff>
      <xdr:row>26</xdr:row>
      <xdr:rowOff>4763</xdr:rowOff>
    </xdr:to>
    <xdr:pic>
      <xdr:nvPicPr>
        <xdr:cNvPr id="29" name="Graphic 28" descr="Database">
          <a:extLst>
            <a:ext uri="{FF2B5EF4-FFF2-40B4-BE49-F238E27FC236}">
              <a16:creationId xmlns:a16="http://schemas.microsoft.com/office/drawing/2014/main" id="{46C08506-B373-4656-99E1-257C089E49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07628" y="3771900"/>
          <a:ext cx="459582" cy="442913"/>
        </a:xfrm>
        <a:prstGeom prst="rect">
          <a:avLst/>
        </a:prstGeom>
      </xdr:spPr>
    </xdr:pic>
    <xdr:clientData/>
  </xdr:twoCellAnchor>
  <xdr:twoCellAnchor editAs="oneCell">
    <xdr:from>
      <xdr:col>6</xdr:col>
      <xdr:colOff>216333</xdr:colOff>
      <xdr:row>27</xdr:row>
      <xdr:rowOff>32638</xdr:rowOff>
    </xdr:from>
    <xdr:to>
      <xdr:col>7</xdr:col>
      <xdr:colOff>66315</xdr:colOff>
      <xdr:row>29</xdr:row>
      <xdr:rowOff>153061</xdr:rowOff>
    </xdr:to>
    <xdr:pic>
      <xdr:nvPicPr>
        <xdr:cNvPr id="30" name="Graphic 29" descr="Clipboard">
          <a:extLst>
            <a:ext uri="{FF2B5EF4-FFF2-40B4-BE49-F238E27FC236}">
              <a16:creationId xmlns:a16="http://schemas.microsoft.com/office/drawing/2014/main" id="{1C42B06D-18A8-40BC-B755-E2BF465D23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3933" y="4404613"/>
          <a:ext cx="459582" cy="444273"/>
        </a:xfrm>
        <a:prstGeom prst="rect">
          <a:avLst/>
        </a:prstGeom>
      </xdr:spPr>
    </xdr:pic>
    <xdr:clientData/>
  </xdr:twoCellAnchor>
  <xdr:twoCellAnchor editAs="oneCell">
    <xdr:from>
      <xdr:col>6</xdr:col>
      <xdr:colOff>204108</xdr:colOff>
      <xdr:row>31</xdr:row>
      <xdr:rowOff>13608</xdr:rowOff>
    </xdr:from>
    <xdr:to>
      <xdr:col>7</xdr:col>
      <xdr:colOff>44223</xdr:colOff>
      <xdr:row>33</xdr:row>
      <xdr:rowOff>132669</xdr:rowOff>
    </xdr:to>
    <xdr:pic>
      <xdr:nvPicPr>
        <xdr:cNvPr id="31" name="Graphic 30" descr="Presentation with pie chart">
          <a:extLst>
            <a:ext uri="{FF2B5EF4-FFF2-40B4-BE49-F238E27FC236}">
              <a16:creationId xmlns:a16="http://schemas.microsoft.com/office/drawing/2014/main" id="{6F3A3314-4A31-41BA-AD18-94168A7931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61708" y="5033283"/>
          <a:ext cx="449715" cy="442911"/>
        </a:xfrm>
        <a:prstGeom prst="rect">
          <a:avLst/>
        </a:prstGeom>
      </xdr:spPr>
    </xdr:pic>
    <xdr:clientData/>
  </xdr:twoCellAnchor>
  <xdr:twoCellAnchor>
    <xdr:from>
      <xdr:col>7</xdr:col>
      <xdr:colOff>476251</xdr:colOff>
      <xdr:row>2</xdr:row>
      <xdr:rowOff>102054</xdr:rowOff>
    </xdr:from>
    <xdr:to>
      <xdr:col>19</xdr:col>
      <xdr:colOff>81643</xdr:colOff>
      <xdr:row>4</xdr:row>
      <xdr:rowOff>107155</xdr:rowOff>
    </xdr:to>
    <xdr:grpSp>
      <xdr:nvGrpSpPr>
        <xdr:cNvPr id="32" name="Group 31">
          <a:extLst>
            <a:ext uri="{FF2B5EF4-FFF2-40B4-BE49-F238E27FC236}">
              <a16:creationId xmlns:a16="http://schemas.microsoft.com/office/drawing/2014/main" id="{F750AFB6-232A-4CE7-A334-585E4AD7B8C7}"/>
            </a:ext>
          </a:extLst>
        </xdr:cNvPr>
        <xdr:cNvGrpSpPr/>
      </xdr:nvGrpSpPr>
      <xdr:grpSpPr>
        <a:xfrm>
          <a:off x="4762501" y="428625"/>
          <a:ext cx="6953249" cy="331673"/>
          <a:chOff x="4726782" y="649743"/>
          <a:chExt cx="6892017" cy="338476"/>
        </a:xfrm>
      </xdr:grpSpPr>
      <xdr:sp macro="" textlink="">
        <xdr:nvSpPr>
          <xdr:cNvPr id="33" name="TextBox 32">
            <a:extLst>
              <a:ext uri="{FF2B5EF4-FFF2-40B4-BE49-F238E27FC236}">
                <a16:creationId xmlns:a16="http://schemas.microsoft.com/office/drawing/2014/main" id="{6CD775D3-A046-546F-D2B1-DD2392D29246}"/>
              </a:ext>
            </a:extLst>
          </xdr:cNvPr>
          <xdr:cNvSpPr txBox="1"/>
        </xdr:nvSpPr>
        <xdr:spPr>
          <a:xfrm>
            <a:off x="4726782" y="678656"/>
            <a:ext cx="2500312"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Lucida Console" panose="020B0609040504020204" pitchFamily="49" charset="0"/>
              </a:rPr>
              <a:t>Amaefule Store®</a:t>
            </a:r>
          </a:p>
        </xdr:txBody>
      </xdr:sp>
      <xdr:sp macro="" textlink="">
        <xdr:nvSpPr>
          <xdr:cNvPr id="34" name="Rectangle: Rounded Corners 33">
            <a:extLst>
              <a:ext uri="{FF2B5EF4-FFF2-40B4-BE49-F238E27FC236}">
                <a16:creationId xmlns:a16="http://schemas.microsoft.com/office/drawing/2014/main" id="{D0304259-3584-E6CE-A36B-9356D5891B97}"/>
              </a:ext>
            </a:extLst>
          </xdr:cNvPr>
          <xdr:cNvSpPr/>
        </xdr:nvSpPr>
        <xdr:spPr>
          <a:xfrm>
            <a:off x="7655718" y="726281"/>
            <a:ext cx="2405063" cy="190500"/>
          </a:xfrm>
          <a:prstGeom prst="roundRect">
            <a:avLst>
              <a:gd name="adj" fmla="val 5000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E61B9C73-9DE6-F102-A442-D5F036BC3442}"/>
              </a:ext>
            </a:extLst>
          </xdr:cNvPr>
          <xdr:cNvGrpSpPr/>
        </xdr:nvGrpSpPr>
        <xdr:grpSpPr>
          <a:xfrm>
            <a:off x="11038792" y="649743"/>
            <a:ext cx="182880" cy="281123"/>
            <a:chOff x="13471071" y="680357"/>
            <a:chExt cx="435430" cy="544287"/>
          </a:xfrm>
        </xdr:grpSpPr>
        <xdr:pic>
          <xdr:nvPicPr>
            <xdr:cNvPr id="40" name="Graphic 39" descr="Ringer">
              <a:extLst>
                <a:ext uri="{FF2B5EF4-FFF2-40B4-BE49-F238E27FC236}">
                  <a16:creationId xmlns:a16="http://schemas.microsoft.com/office/drawing/2014/main" id="{12B96D7D-56DA-61C4-86AD-F62C98A3F2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71071" y="816429"/>
              <a:ext cx="408215" cy="408215"/>
            </a:xfrm>
            <a:prstGeom prst="rect">
              <a:avLst/>
            </a:prstGeom>
          </xdr:spPr>
        </xdr:pic>
        <xdr:grpSp>
          <xdr:nvGrpSpPr>
            <xdr:cNvPr id="41" name="Group 40">
              <a:extLst>
                <a:ext uri="{FF2B5EF4-FFF2-40B4-BE49-F238E27FC236}">
                  <a16:creationId xmlns:a16="http://schemas.microsoft.com/office/drawing/2014/main" id="{CD0C0603-E3EE-9A87-E1F2-50E2EC07A04C}"/>
                </a:ext>
              </a:extLst>
            </xdr:cNvPr>
            <xdr:cNvGrpSpPr/>
          </xdr:nvGrpSpPr>
          <xdr:grpSpPr>
            <a:xfrm>
              <a:off x="13647966" y="680357"/>
              <a:ext cx="258535" cy="299356"/>
              <a:chOff x="15444107" y="2408464"/>
              <a:chExt cx="762000" cy="762000"/>
            </a:xfrm>
          </xdr:grpSpPr>
          <xdr:sp macro="" textlink="">
            <xdr:nvSpPr>
              <xdr:cNvPr id="42" name="Oval 41">
                <a:extLst>
                  <a:ext uri="{FF2B5EF4-FFF2-40B4-BE49-F238E27FC236}">
                    <a16:creationId xmlns:a16="http://schemas.microsoft.com/office/drawing/2014/main" id="{F9CBA872-011A-0A8E-6E72-EFE2DED21071}"/>
                  </a:ext>
                </a:extLst>
              </xdr:cNvPr>
              <xdr:cNvSpPr/>
            </xdr:nvSpPr>
            <xdr:spPr>
              <a:xfrm>
                <a:off x="15444107" y="2408464"/>
                <a:ext cx="762000" cy="76200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400" b="1">
                  <a:latin typeface="Bodoni MT Black" panose="02070A03080606020203" pitchFamily="18" charset="0"/>
                </a:endParaRPr>
              </a:p>
            </xdr:txBody>
          </xdr:sp>
          <xdr:sp macro="" textlink="">
            <xdr:nvSpPr>
              <xdr:cNvPr id="43" name="TextBox 42">
                <a:extLst>
                  <a:ext uri="{FF2B5EF4-FFF2-40B4-BE49-F238E27FC236}">
                    <a16:creationId xmlns:a16="http://schemas.microsoft.com/office/drawing/2014/main" id="{21F6955C-DC47-E03C-9603-5309E99DFBF8}"/>
                  </a:ext>
                </a:extLst>
              </xdr:cNvPr>
              <xdr:cNvSpPr txBox="1"/>
            </xdr:nvSpPr>
            <xdr:spPr>
              <a:xfrm>
                <a:off x="15689036" y="2612570"/>
                <a:ext cx="285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Bodoni MT Black" panose="02070A03080606020203" pitchFamily="18" charset="0"/>
                  </a:rPr>
                  <a:t>3</a:t>
                </a:r>
              </a:p>
            </xdr:txBody>
          </xdr:sp>
        </xdr:grpSp>
      </xdr:grpSp>
      <xdr:grpSp>
        <xdr:nvGrpSpPr>
          <xdr:cNvPr id="36" name="Group 35">
            <a:extLst>
              <a:ext uri="{FF2B5EF4-FFF2-40B4-BE49-F238E27FC236}">
                <a16:creationId xmlns:a16="http://schemas.microsoft.com/office/drawing/2014/main" id="{EA700569-105F-2851-5AC0-F7D7B6975D99}"/>
              </a:ext>
            </a:extLst>
          </xdr:cNvPr>
          <xdr:cNvGrpSpPr/>
        </xdr:nvGrpSpPr>
        <xdr:grpSpPr>
          <a:xfrm>
            <a:off x="11297330" y="779690"/>
            <a:ext cx="321469" cy="80962"/>
            <a:chOff x="13171714" y="1827439"/>
            <a:chExt cx="495304" cy="149679"/>
          </a:xfrm>
          <a:solidFill>
            <a:schemeClr val="bg1"/>
          </a:solidFill>
        </xdr:grpSpPr>
        <xdr:sp macro="" textlink="">
          <xdr:nvSpPr>
            <xdr:cNvPr id="37" name="Oval 36">
              <a:extLst>
                <a:ext uri="{FF2B5EF4-FFF2-40B4-BE49-F238E27FC236}">
                  <a16:creationId xmlns:a16="http://schemas.microsoft.com/office/drawing/2014/main" id="{85E5D984-5935-3165-9CCD-128A81B3E04D}"/>
                </a:ext>
              </a:extLst>
            </xdr:cNvPr>
            <xdr:cNvSpPr/>
          </xdr:nvSpPr>
          <xdr:spPr>
            <a:xfrm>
              <a:off x="13171714"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8" name="Oval 37">
              <a:extLst>
                <a:ext uri="{FF2B5EF4-FFF2-40B4-BE49-F238E27FC236}">
                  <a16:creationId xmlns:a16="http://schemas.microsoft.com/office/drawing/2014/main" id="{A7BDC814-29A2-AA66-5A63-7A7B1C517A9B}"/>
                </a:ext>
              </a:extLst>
            </xdr:cNvPr>
            <xdr:cNvSpPr/>
          </xdr:nvSpPr>
          <xdr:spPr>
            <a:xfrm>
              <a:off x="13351330"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9" name="Oval 38">
              <a:extLst>
                <a:ext uri="{FF2B5EF4-FFF2-40B4-BE49-F238E27FC236}">
                  <a16:creationId xmlns:a16="http://schemas.microsoft.com/office/drawing/2014/main" id="{906845E8-76FD-DEF8-3ED1-B4328D118E6F}"/>
                </a:ext>
              </a:extLst>
            </xdr:cNvPr>
            <xdr:cNvSpPr/>
          </xdr:nvSpPr>
          <xdr:spPr>
            <a:xfrm>
              <a:off x="13530946"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clientData/>
  </xdr:twoCellAnchor>
  <xdr:twoCellAnchor>
    <xdr:from>
      <xdr:col>8</xdr:col>
      <xdr:colOff>89648</xdr:colOff>
      <xdr:row>8</xdr:row>
      <xdr:rowOff>81643</xdr:rowOff>
    </xdr:from>
    <xdr:to>
      <xdr:col>10</xdr:col>
      <xdr:colOff>595161</xdr:colOff>
      <xdr:row>9</xdr:row>
      <xdr:rowOff>123265</xdr:rowOff>
    </xdr:to>
    <xdr:sp macro="" textlink="">
      <xdr:nvSpPr>
        <xdr:cNvPr id="44" name="TextBox 43">
          <a:extLst>
            <a:ext uri="{FF2B5EF4-FFF2-40B4-BE49-F238E27FC236}">
              <a16:creationId xmlns:a16="http://schemas.microsoft.com/office/drawing/2014/main" id="{59EFB92D-5CFD-4924-86D8-EF5D1402E205}"/>
            </a:ext>
          </a:extLst>
        </xdr:cNvPr>
        <xdr:cNvSpPr txBox="1"/>
      </xdr:nvSpPr>
      <xdr:spPr>
        <a:xfrm flipH="1">
          <a:off x="4966448" y="1377043"/>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Months</a:t>
          </a:r>
          <a:endParaRPr lang="en-US" sz="1050">
            <a:latin typeface="Lucida Console" panose="020B0609040504020204" pitchFamily="49" charset="0"/>
          </a:endParaRPr>
        </a:p>
      </xdr:txBody>
    </xdr:sp>
    <xdr:clientData/>
  </xdr:twoCellAnchor>
  <xdr:twoCellAnchor>
    <xdr:from>
      <xdr:col>13</xdr:col>
      <xdr:colOff>600637</xdr:colOff>
      <xdr:row>8</xdr:row>
      <xdr:rowOff>88367</xdr:rowOff>
    </xdr:from>
    <xdr:to>
      <xdr:col>16</xdr:col>
      <xdr:colOff>501032</xdr:colOff>
      <xdr:row>9</xdr:row>
      <xdr:rowOff>129989</xdr:rowOff>
    </xdr:to>
    <xdr:sp macro="" textlink="">
      <xdr:nvSpPr>
        <xdr:cNvPr id="45" name="TextBox 44">
          <a:extLst>
            <a:ext uri="{FF2B5EF4-FFF2-40B4-BE49-F238E27FC236}">
              <a16:creationId xmlns:a16="http://schemas.microsoft.com/office/drawing/2014/main" id="{7FFB1697-1B80-4F57-80C5-828FD2BD7744}"/>
            </a:ext>
          </a:extLst>
        </xdr:cNvPr>
        <xdr:cNvSpPr txBox="1"/>
      </xdr:nvSpPr>
      <xdr:spPr>
        <a:xfrm flipH="1">
          <a:off x="8525437" y="1383767"/>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Cities</a:t>
          </a:r>
          <a:endParaRPr lang="en-US" sz="1050">
            <a:latin typeface="Lucida Console" panose="020B0609040504020204" pitchFamily="49" charset="0"/>
          </a:endParaRPr>
        </a:p>
      </xdr:txBody>
    </xdr:sp>
    <xdr:clientData/>
  </xdr:twoCellAnchor>
  <xdr:twoCellAnchor>
    <xdr:from>
      <xdr:col>8</xdr:col>
      <xdr:colOff>13448</xdr:colOff>
      <xdr:row>19</xdr:row>
      <xdr:rowOff>27855</xdr:rowOff>
    </xdr:from>
    <xdr:to>
      <xdr:col>10</xdr:col>
      <xdr:colOff>518961</xdr:colOff>
      <xdr:row>20</xdr:row>
      <xdr:rowOff>69477</xdr:rowOff>
    </xdr:to>
    <xdr:sp macro="" textlink="">
      <xdr:nvSpPr>
        <xdr:cNvPr id="46" name="TextBox 45">
          <a:extLst>
            <a:ext uri="{FF2B5EF4-FFF2-40B4-BE49-F238E27FC236}">
              <a16:creationId xmlns:a16="http://schemas.microsoft.com/office/drawing/2014/main" id="{F9CF9DD0-E883-4C2A-98AC-C36E825197EA}"/>
            </a:ext>
          </a:extLst>
        </xdr:cNvPr>
        <xdr:cNvSpPr txBox="1"/>
      </xdr:nvSpPr>
      <xdr:spPr>
        <a:xfrm flipH="1">
          <a:off x="4890248" y="3104430"/>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11</xdr:col>
      <xdr:colOff>602877</xdr:colOff>
      <xdr:row>19</xdr:row>
      <xdr:rowOff>45784</xdr:rowOff>
    </xdr:from>
    <xdr:to>
      <xdr:col>14</xdr:col>
      <xdr:colOff>503272</xdr:colOff>
      <xdr:row>20</xdr:row>
      <xdr:rowOff>87406</xdr:rowOff>
    </xdr:to>
    <xdr:sp macro="" textlink="">
      <xdr:nvSpPr>
        <xdr:cNvPr id="47" name="TextBox 46">
          <a:extLst>
            <a:ext uri="{FF2B5EF4-FFF2-40B4-BE49-F238E27FC236}">
              <a16:creationId xmlns:a16="http://schemas.microsoft.com/office/drawing/2014/main" id="{7B37E22F-6F43-474A-92A1-EE9FF3B5B2DB}"/>
            </a:ext>
          </a:extLst>
        </xdr:cNvPr>
        <xdr:cNvSpPr txBox="1"/>
      </xdr:nvSpPr>
      <xdr:spPr>
        <a:xfrm flipH="1">
          <a:off x="7308477" y="3122359"/>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Months</a:t>
          </a:r>
          <a:endParaRPr lang="en-US" sz="900">
            <a:latin typeface="Lucida Console" panose="020B0609040504020204" pitchFamily="49" charset="0"/>
          </a:endParaRPr>
        </a:p>
      </xdr:txBody>
    </xdr:sp>
    <xdr:clientData/>
  </xdr:twoCellAnchor>
  <xdr:twoCellAnchor>
    <xdr:from>
      <xdr:col>8</xdr:col>
      <xdr:colOff>38100</xdr:colOff>
      <xdr:row>27</xdr:row>
      <xdr:rowOff>130948</xdr:rowOff>
    </xdr:from>
    <xdr:to>
      <xdr:col>10</xdr:col>
      <xdr:colOff>543613</xdr:colOff>
      <xdr:row>29</xdr:row>
      <xdr:rowOff>15688</xdr:rowOff>
    </xdr:to>
    <xdr:sp macro="" textlink="">
      <xdr:nvSpPr>
        <xdr:cNvPr id="48" name="TextBox 47">
          <a:extLst>
            <a:ext uri="{FF2B5EF4-FFF2-40B4-BE49-F238E27FC236}">
              <a16:creationId xmlns:a16="http://schemas.microsoft.com/office/drawing/2014/main" id="{987846A1-5177-4698-B9D4-5A26DD5E1276}"/>
            </a:ext>
          </a:extLst>
        </xdr:cNvPr>
        <xdr:cNvSpPr txBox="1"/>
      </xdr:nvSpPr>
      <xdr:spPr>
        <a:xfrm flipH="1">
          <a:off x="4914900" y="4502923"/>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12</xdr:col>
      <xdr:colOff>22412</xdr:colOff>
      <xdr:row>27</xdr:row>
      <xdr:rowOff>126466</xdr:rowOff>
    </xdr:from>
    <xdr:to>
      <xdr:col>14</xdr:col>
      <xdr:colOff>527925</xdr:colOff>
      <xdr:row>29</xdr:row>
      <xdr:rowOff>11206</xdr:rowOff>
    </xdr:to>
    <xdr:sp macro="" textlink="">
      <xdr:nvSpPr>
        <xdr:cNvPr id="49" name="TextBox 48">
          <a:extLst>
            <a:ext uri="{FF2B5EF4-FFF2-40B4-BE49-F238E27FC236}">
              <a16:creationId xmlns:a16="http://schemas.microsoft.com/office/drawing/2014/main" id="{A72CB3CB-3DA6-411A-9C70-62D8F4C4ABB9}"/>
            </a:ext>
          </a:extLst>
        </xdr:cNvPr>
        <xdr:cNvSpPr txBox="1"/>
      </xdr:nvSpPr>
      <xdr:spPr>
        <a:xfrm flipH="1">
          <a:off x="7337612" y="4498441"/>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Sales-Rep</a:t>
          </a:r>
          <a:endParaRPr lang="en-US" sz="900">
            <a:latin typeface="Lucida Console" panose="020B0609040504020204" pitchFamily="49" charset="0"/>
          </a:endParaRPr>
        </a:p>
      </xdr:txBody>
    </xdr:sp>
    <xdr:clientData/>
  </xdr:twoCellAnchor>
  <xdr:twoCellAnchor editAs="oneCell">
    <xdr:from>
      <xdr:col>16</xdr:col>
      <xdr:colOff>142874</xdr:colOff>
      <xdr:row>3</xdr:row>
      <xdr:rowOff>11907</xdr:rowOff>
    </xdr:from>
    <xdr:to>
      <xdr:col>16</xdr:col>
      <xdr:colOff>309561</xdr:colOff>
      <xdr:row>4</xdr:row>
      <xdr:rowOff>11907</xdr:rowOff>
    </xdr:to>
    <xdr:pic>
      <xdr:nvPicPr>
        <xdr:cNvPr id="50" name="Graphic 49" descr="Magnifying glass">
          <a:extLst>
            <a:ext uri="{FF2B5EF4-FFF2-40B4-BE49-F238E27FC236}">
              <a16:creationId xmlns:a16="http://schemas.microsoft.com/office/drawing/2014/main" id="{C14D2217-75D3-4452-935E-2258874BBDB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96474" y="497682"/>
          <a:ext cx="166687" cy="161925"/>
        </a:xfrm>
        <a:prstGeom prst="rect">
          <a:avLst/>
        </a:prstGeom>
      </xdr:spPr>
    </xdr:pic>
    <xdr:clientData/>
  </xdr:twoCellAnchor>
  <xdr:twoCellAnchor>
    <xdr:from>
      <xdr:col>7</xdr:col>
      <xdr:colOff>489556</xdr:colOff>
      <xdr:row>4</xdr:row>
      <xdr:rowOff>146075</xdr:rowOff>
    </xdr:from>
    <xdr:to>
      <xdr:col>13</xdr:col>
      <xdr:colOff>535779</xdr:colOff>
      <xdr:row>6</xdr:row>
      <xdr:rowOff>47623</xdr:rowOff>
    </xdr:to>
    <xdr:sp macro="" textlink="">
      <xdr:nvSpPr>
        <xdr:cNvPr id="51" name="TextBox 50">
          <a:extLst>
            <a:ext uri="{FF2B5EF4-FFF2-40B4-BE49-F238E27FC236}">
              <a16:creationId xmlns:a16="http://schemas.microsoft.com/office/drawing/2014/main" id="{E8A08EA2-F24A-41EB-831E-7F8835FA2D50}"/>
            </a:ext>
          </a:extLst>
        </xdr:cNvPr>
        <xdr:cNvSpPr txBox="1"/>
      </xdr:nvSpPr>
      <xdr:spPr>
        <a:xfrm flipH="1">
          <a:off x="4756756" y="793775"/>
          <a:ext cx="3703823" cy="225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Lucida Console" panose="020B0609040504020204" pitchFamily="49" charset="0"/>
            </a:rPr>
            <a:t>How is our sales performing?</a:t>
          </a:r>
        </a:p>
      </xdr:txBody>
    </xdr:sp>
    <xdr:clientData/>
  </xdr:twoCellAnchor>
  <xdr:twoCellAnchor>
    <xdr:from>
      <xdr:col>17</xdr:col>
      <xdr:colOff>469105</xdr:colOff>
      <xdr:row>19</xdr:row>
      <xdr:rowOff>166686</xdr:rowOff>
    </xdr:from>
    <xdr:to>
      <xdr:col>18</xdr:col>
      <xdr:colOff>528636</xdr:colOff>
      <xdr:row>21</xdr:row>
      <xdr:rowOff>142873</xdr:rowOff>
    </xdr:to>
    <xdr:sp macro="" textlink="TOTAL_CUSTOMERS">
      <xdr:nvSpPr>
        <xdr:cNvPr id="52" name="TextBox 51">
          <a:extLst>
            <a:ext uri="{FF2B5EF4-FFF2-40B4-BE49-F238E27FC236}">
              <a16:creationId xmlns:a16="http://schemas.microsoft.com/office/drawing/2014/main" id="{E19981A3-70BE-B9AC-3D62-7D467D9756C4}"/>
            </a:ext>
          </a:extLst>
        </xdr:cNvPr>
        <xdr:cNvSpPr txBox="1"/>
      </xdr:nvSpPr>
      <xdr:spPr>
        <a:xfrm>
          <a:off x="10791824" y="3333749"/>
          <a:ext cx="666750"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24F914-C5D9-4599-98A9-9D2D3921B59C}" type="TxLink">
            <a:rPr lang="en-US" sz="1800" b="1" i="0" u="none" strike="noStrike">
              <a:solidFill>
                <a:schemeClr val="bg1"/>
              </a:solidFill>
              <a:latin typeface="Lucida Console" panose="020B0609040504020204" pitchFamily="49" charset="0"/>
              <a:ea typeface="+mn-ea"/>
              <a:cs typeface="Arial"/>
            </a:rPr>
            <a:pPr marL="0" indent="0"/>
            <a:t>700</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223836</xdr:colOff>
      <xdr:row>24</xdr:row>
      <xdr:rowOff>16668</xdr:rowOff>
    </xdr:from>
    <xdr:to>
      <xdr:col>19</xdr:col>
      <xdr:colOff>166687</xdr:colOff>
      <xdr:row>25</xdr:row>
      <xdr:rowOff>161924</xdr:rowOff>
    </xdr:to>
    <xdr:sp macro="" textlink="TOTAL_SALES">
      <xdr:nvSpPr>
        <xdr:cNvPr id="53" name="TextBox 52">
          <a:extLst>
            <a:ext uri="{FF2B5EF4-FFF2-40B4-BE49-F238E27FC236}">
              <a16:creationId xmlns:a16="http://schemas.microsoft.com/office/drawing/2014/main" id="{52338760-97E5-4A0D-A9A6-2EEA837863E3}"/>
            </a:ext>
          </a:extLst>
        </xdr:cNvPr>
        <xdr:cNvSpPr txBox="1"/>
      </xdr:nvSpPr>
      <xdr:spPr>
        <a:xfrm>
          <a:off x="10546555" y="4017168"/>
          <a:ext cx="1157288" cy="31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0178F1-60D6-406B-883C-2824C8ADF6E9}" type="TxLink">
            <a:rPr lang="en-US" sz="1800" b="1" i="0" u="none" strike="noStrike">
              <a:solidFill>
                <a:schemeClr val="bg1"/>
              </a:solidFill>
              <a:latin typeface="Lucida Console" panose="020B0609040504020204" pitchFamily="49" charset="0"/>
              <a:ea typeface="+mn-ea"/>
              <a:cs typeface="Arial"/>
            </a:rPr>
            <a:pPr marL="0" indent="0"/>
            <a:t>$472.8K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28</xdr:row>
      <xdr:rowOff>35719</xdr:rowOff>
    </xdr:from>
    <xdr:to>
      <xdr:col>19</xdr:col>
      <xdr:colOff>4762</xdr:colOff>
      <xdr:row>30</xdr:row>
      <xdr:rowOff>11906</xdr:rowOff>
    </xdr:to>
    <xdr:sp macro="" textlink="TOTAL_QTY">
      <xdr:nvSpPr>
        <xdr:cNvPr id="54" name="TextBox 53">
          <a:extLst>
            <a:ext uri="{FF2B5EF4-FFF2-40B4-BE49-F238E27FC236}">
              <a16:creationId xmlns:a16="http://schemas.microsoft.com/office/drawing/2014/main" id="{B1ECB96F-4209-4A67-9F5D-5B162D25676F}"/>
            </a:ext>
          </a:extLst>
        </xdr:cNvPr>
        <xdr:cNvSpPr txBox="1"/>
      </xdr:nvSpPr>
      <xdr:spPr>
        <a:xfrm>
          <a:off x="10708480" y="4702969"/>
          <a:ext cx="833438"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F3F0BF-AFF3-44E9-9F59-502B98A54EB7}" type="TxLink">
            <a:rPr lang="en-US" sz="1800" b="1" i="0" u="none" strike="noStrike">
              <a:solidFill>
                <a:schemeClr val="bg1"/>
              </a:solidFill>
              <a:latin typeface="Lucida Console" panose="020B0609040504020204" pitchFamily="49" charset="0"/>
              <a:ea typeface="+mn-ea"/>
              <a:cs typeface="Arial"/>
            </a:rPr>
            <a:pPr marL="0" indent="0"/>
            <a:t>1.7K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32</xdr:row>
      <xdr:rowOff>52387</xdr:rowOff>
    </xdr:from>
    <xdr:to>
      <xdr:col>19</xdr:col>
      <xdr:colOff>4762</xdr:colOff>
      <xdr:row>34</xdr:row>
      <xdr:rowOff>28574</xdr:rowOff>
    </xdr:to>
    <xdr:sp macro="" textlink="AVERAGE_SALES_VALUE">
      <xdr:nvSpPr>
        <xdr:cNvPr id="55" name="TextBox 54">
          <a:extLst>
            <a:ext uri="{FF2B5EF4-FFF2-40B4-BE49-F238E27FC236}">
              <a16:creationId xmlns:a16="http://schemas.microsoft.com/office/drawing/2014/main" id="{EC7D0647-5E2C-4F07-BCBA-383285B10395}"/>
            </a:ext>
          </a:extLst>
        </xdr:cNvPr>
        <xdr:cNvSpPr txBox="1"/>
      </xdr:nvSpPr>
      <xdr:spPr>
        <a:xfrm>
          <a:off x="10708480" y="5386387"/>
          <a:ext cx="833438"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B05866-CF71-4328-9C16-7ABE01253FE3}" type="TxLink">
            <a:rPr lang="en-US" sz="1800" b="1" i="0" u="none" strike="noStrike">
              <a:solidFill>
                <a:schemeClr val="bg1"/>
              </a:solidFill>
              <a:latin typeface="Lucida Console" panose="020B0609040504020204" pitchFamily="49" charset="0"/>
              <a:ea typeface="+mn-ea"/>
              <a:cs typeface="Arial"/>
            </a:rPr>
            <a:pPr marL="0" indent="0"/>
            <a:t>575</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15</xdr:col>
      <xdr:colOff>426663</xdr:colOff>
      <xdr:row>19</xdr:row>
      <xdr:rowOff>62452</xdr:rowOff>
    </xdr:from>
    <xdr:to>
      <xdr:col>17</xdr:col>
      <xdr:colOff>226218</xdr:colOff>
      <xdr:row>20</xdr:row>
      <xdr:rowOff>107156</xdr:rowOff>
    </xdr:to>
    <xdr:sp macro="" textlink="">
      <xdr:nvSpPr>
        <xdr:cNvPr id="56" name="TextBox 55">
          <a:extLst>
            <a:ext uri="{FF2B5EF4-FFF2-40B4-BE49-F238E27FC236}">
              <a16:creationId xmlns:a16="http://schemas.microsoft.com/office/drawing/2014/main" id="{3CF236B1-9531-4C2B-9A46-4599003781BD}"/>
            </a:ext>
          </a:extLst>
        </xdr:cNvPr>
        <xdr:cNvSpPr txBox="1"/>
      </xdr:nvSpPr>
      <xdr:spPr>
        <a:xfrm flipH="1">
          <a:off x="9534944" y="3229515"/>
          <a:ext cx="1013993" cy="211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latin typeface="Lucida Console" panose="020B0609040504020204" pitchFamily="49" charset="0"/>
            </a:rPr>
            <a:t>Customers</a:t>
          </a:r>
        </a:p>
      </xdr:txBody>
    </xdr:sp>
    <xdr:clientData/>
  </xdr:twoCellAnchor>
  <xdr:twoCellAnchor>
    <xdr:from>
      <xdr:col>15</xdr:col>
      <xdr:colOff>471904</xdr:colOff>
      <xdr:row>23</xdr:row>
      <xdr:rowOff>95790</xdr:rowOff>
    </xdr:from>
    <xdr:to>
      <xdr:col>17</xdr:col>
      <xdr:colOff>250029</xdr:colOff>
      <xdr:row>25</xdr:row>
      <xdr:rowOff>23812</xdr:rowOff>
    </xdr:to>
    <xdr:sp macro="" textlink="">
      <xdr:nvSpPr>
        <xdr:cNvPr id="57" name="TextBox 56">
          <a:extLst>
            <a:ext uri="{FF2B5EF4-FFF2-40B4-BE49-F238E27FC236}">
              <a16:creationId xmlns:a16="http://schemas.microsoft.com/office/drawing/2014/main" id="{093B901D-01C3-4C2C-8287-73257CD27E88}"/>
            </a:ext>
          </a:extLst>
        </xdr:cNvPr>
        <xdr:cNvSpPr txBox="1"/>
      </xdr:nvSpPr>
      <xdr:spPr>
        <a:xfrm flipH="1">
          <a:off x="9580185" y="3929603"/>
          <a:ext cx="992563" cy="261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latin typeface="Lucida Console" panose="020B0609040504020204" pitchFamily="49" charset="0"/>
            </a:rPr>
            <a:t>Revenue</a:t>
          </a:r>
        </a:p>
      </xdr:txBody>
    </xdr:sp>
    <xdr:clientData/>
  </xdr:twoCellAnchor>
  <xdr:twoCellAnchor>
    <xdr:from>
      <xdr:col>15</xdr:col>
      <xdr:colOff>421898</xdr:colOff>
      <xdr:row>27</xdr:row>
      <xdr:rowOff>117221</xdr:rowOff>
    </xdr:from>
    <xdr:to>
      <xdr:col>17</xdr:col>
      <xdr:colOff>200023</xdr:colOff>
      <xdr:row>29</xdr:row>
      <xdr:rowOff>45243</xdr:rowOff>
    </xdr:to>
    <xdr:sp macro="" textlink="">
      <xdr:nvSpPr>
        <xdr:cNvPr id="58" name="TextBox 57">
          <a:extLst>
            <a:ext uri="{FF2B5EF4-FFF2-40B4-BE49-F238E27FC236}">
              <a16:creationId xmlns:a16="http://schemas.microsoft.com/office/drawing/2014/main" id="{B65164C2-84E3-441A-89BE-A5D58E8CF226}"/>
            </a:ext>
          </a:extLst>
        </xdr:cNvPr>
        <xdr:cNvSpPr txBox="1"/>
      </xdr:nvSpPr>
      <xdr:spPr>
        <a:xfrm flipH="1">
          <a:off x="9530179" y="4617784"/>
          <a:ext cx="992563" cy="261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latin typeface="Lucida Console" panose="020B0609040504020204" pitchFamily="49" charset="0"/>
            </a:rPr>
            <a:t>Quantity</a:t>
          </a:r>
        </a:p>
      </xdr:txBody>
    </xdr:sp>
    <xdr:clientData/>
  </xdr:twoCellAnchor>
  <xdr:twoCellAnchor>
    <xdr:from>
      <xdr:col>15</xdr:col>
      <xdr:colOff>538572</xdr:colOff>
      <xdr:row>31</xdr:row>
      <xdr:rowOff>102935</xdr:rowOff>
    </xdr:from>
    <xdr:to>
      <xdr:col>17</xdr:col>
      <xdr:colOff>142873</xdr:colOff>
      <xdr:row>33</xdr:row>
      <xdr:rowOff>154781</xdr:rowOff>
    </xdr:to>
    <xdr:sp macro="" textlink="">
      <xdr:nvSpPr>
        <xdr:cNvPr id="59" name="TextBox 58">
          <a:extLst>
            <a:ext uri="{FF2B5EF4-FFF2-40B4-BE49-F238E27FC236}">
              <a16:creationId xmlns:a16="http://schemas.microsoft.com/office/drawing/2014/main" id="{D7C1E810-7E0C-4A8A-8C07-64F633E956E5}"/>
            </a:ext>
          </a:extLst>
        </xdr:cNvPr>
        <xdr:cNvSpPr txBox="1"/>
      </xdr:nvSpPr>
      <xdr:spPr>
        <a:xfrm flipH="1">
          <a:off x="9646853" y="5270248"/>
          <a:ext cx="818739" cy="385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a:latin typeface="Lucida Console" panose="020B0609040504020204" pitchFamily="49" charset="0"/>
            </a:rPr>
            <a:t>Sales</a:t>
          </a:r>
          <a:r>
            <a:rPr lang="en-US" sz="1050" b="0" baseline="0">
              <a:latin typeface="Lucida Console" panose="020B0609040504020204" pitchFamily="49" charset="0"/>
            </a:rPr>
            <a:t> </a:t>
          </a:r>
          <a:br>
            <a:rPr lang="en-US" sz="1050" b="0" baseline="0">
              <a:latin typeface="Lucida Console" panose="020B0609040504020204" pitchFamily="49" charset="0"/>
            </a:rPr>
          </a:br>
          <a:r>
            <a:rPr lang="en-US" sz="1050" b="0">
              <a:latin typeface="Lucida Console" panose="020B0609040504020204" pitchFamily="49" charset="0"/>
            </a:rPr>
            <a:t>Value</a:t>
          </a:r>
        </a:p>
      </xdr:txBody>
    </xdr:sp>
    <xdr:clientData/>
  </xdr:twoCellAnchor>
  <xdr:twoCellAnchor editAs="oneCell">
    <xdr:from>
      <xdr:col>16</xdr:col>
      <xdr:colOff>154783</xdr:colOff>
      <xdr:row>20</xdr:row>
      <xdr:rowOff>130970</xdr:rowOff>
    </xdr:from>
    <xdr:to>
      <xdr:col>16</xdr:col>
      <xdr:colOff>452439</xdr:colOff>
      <xdr:row>22</xdr:row>
      <xdr:rowOff>95251</xdr:rowOff>
    </xdr:to>
    <xdr:pic>
      <xdr:nvPicPr>
        <xdr:cNvPr id="61" name="Graphic 60" descr="Customer review">
          <a:extLst>
            <a:ext uri="{FF2B5EF4-FFF2-40B4-BE49-F238E27FC236}">
              <a16:creationId xmlns:a16="http://schemas.microsoft.com/office/drawing/2014/main" id="{B5159EDC-E802-1DF2-D9FB-99DF7F480E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70283" y="3464720"/>
          <a:ext cx="297656" cy="297656"/>
        </a:xfrm>
        <a:prstGeom prst="rect">
          <a:avLst/>
        </a:prstGeom>
      </xdr:spPr>
    </xdr:pic>
    <xdr:clientData/>
  </xdr:twoCellAnchor>
  <xdr:twoCellAnchor editAs="oneCell">
    <xdr:from>
      <xdr:col>16</xdr:col>
      <xdr:colOff>166688</xdr:colOff>
      <xdr:row>24</xdr:row>
      <xdr:rowOff>119063</xdr:rowOff>
    </xdr:from>
    <xdr:to>
      <xdr:col>16</xdr:col>
      <xdr:colOff>441008</xdr:colOff>
      <xdr:row>26</xdr:row>
      <xdr:rowOff>60008</xdr:rowOff>
    </xdr:to>
    <xdr:pic>
      <xdr:nvPicPr>
        <xdr:cNvPr id="63" name="Graphic 62" descr="Money">
          <a:extLst>
            <a:ext uri="{FF2B5EF4-FFF2-40B4-BE49-F238E27FC236}">
              <a16:creationId xmlns:a16="http://schemas.microsoft.com/office/drawing/2014/main" id="{25364243-770A-1704-2570-A3F1F9BF44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882188" y="4119563"/>
          <a:ext cx="274320" cy="274320"/>
        </a:xfrm>
        <a:prstGeom prst="rect">
          <a:avLst/>
        </a:prstGeom>
      </xdr:spPr>
    </xdr:pic>
    <xdr:clientData/>
  </xdr:twoCellAnchor>
  <xdr:twoCellAnchor editAs="oneCell">
    <xdr:from>
      <xdr:col>16</xdr:col>
      <xdr:colOff>166688</xdr:colOff>
      <xdr:row>29</xdr:row>
      <xdr:rowOff>0</xdr:rowOff>
    </xdr:from>
    <xdr:to>
      <xdr:col>16</xdr:col>
      <xdr:colOff>441008</xdr:colOff>
      <xdr:row>30</xdr:row>
      <xdr:rowOff>107633</xdr:rowOff>
    </xdr:to>
    <xdr:pic>
      <xdr:nvPicPr>
        <xdr:cNvPr id="65" name="Graphic 64" descr="Checklist">
          <a:extLst>
            <a:ext uri="{FF2B5EF4-FFF2-40B4-BE49-F238E27FC236}">
              <a16:creationId xmlns:a16="http://schemas.microsoft.com/office/drawing/2014/main" id="{2D43789B-1D9F-DCE6-A08D-0978F813B8F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82188" y="4833938"/>
          <a:ext cx="274320" cy="274320"/>
        </a:xfrm>
        <a:prstGeom prst="rect">
          <a:avLst/>
        </a:prstGeom>
      </xdr:spPr>
    </xdr:pic>
    <xdr:clientData/>
  </xdr:twoCellAnchor>
  <xdr:twoCellAnchor editAs="oneCell">
    <xdr:from>
      <xdr:col>16</xdr:col>
      <xdr:colOff>154782</xdr:colOff>
      <xdr:row>33</xdr:row>
      <xdr:rowOff>71437</xdr:rowOff>
    </xdr:from>
    <xdr:to>
      <xdr:col>16</xdr:col>
      <xdr:colOff>429102</xdr:colOff>
      <xdr:row>35</xdr:row>
      <xdr:rowOff>12382</xdr:rowOff>
    </xdr:to>
    <xdr:pic>
      <xdr:nvPicPr>
        <xdr:cNvPr id="67" name="Graphic 66" descr="Suitcase">
          <a:extLst>
            <a:ext uri="{FF2B5EF4-FFF2-40B4-BE49-F238E27FC236}">
              <a16:creationId xmlns:a16="http://schemas.microsoft.com/office/drawing/2014/main" id="{A76E56EA-D187-4540-D2B0-DA905B28367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870282" y="5572125"/>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376237</xdr:colOff>
      <xdr:row>1</xdr:row>
      <xdr:rowOff>95248</xdr:rowOff>
    </xdr:from>
    <xdr:to>
      <xdr:col>19</xdr:col>
      <xdr:colOff>535781</xdr:colOff>
      <xdr:row>35</xdr:row>
      <xdr:rowOff>166686</xdr:rowOff>
    </xdr:to>
    <xdr:sp macro="" textlink="">
      <xdr:nvSpPr>
        <xdr:cNvPr id="2" name="Rectangle 1">
          <a:extLst>
            <a:ext uri="{FF2B5EF4-FFF2-40B4-BE49-F238E27FC236}">
              <a16:creationId xmlns:a16="http://schemas.microsoft.com/office/drawing/2014/main" id="{BE3B6DB5-D976-4009-8225-2E561D08AE80}"/>
            </a:ext>
          </a:extLst>
        </xdr:cNvPr>
        <xdr:cNvSpPr/>
      </xdr:nvSpPr>
      <xdr:spPr>
        <a:xfrm>
          <a:off x="4626768" y="261936"/>
          <a:ext cx="7446169" cy="5738813"/>
        </a:xfrm>
        <a:prstGeom prst="rect">
          <a:avLst/>
        </a:prstGeom>
        <a:solidFill>
          <a:srgbClr val="EAE9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309562</xdr:colOff>
      <xdr:row>1</xdr:row>
      <xdr:rowOff>92867</xdr:rowOff>
    </xdr:from>
    <xdr:to>
      <xdr:col>7</xdr:col>
      <xdr:colOff>369095</xdr:colOff>
      <xdr:row>35</xdr:row>
      <xdr:rowOff>164305</xdr:rowOff>
    </xdr:to>
    <xdr:sp macro="" textlink="">
      <xdr:nvSpPr>
        <xdr:cNvPr id="3" name="Rectangle 2">
          <a:extLst>
            <a:ext uri="{FF2B5EF4-FFF2-40B4-BE49-F238E27FC236}">
              <a16:creationId xmlns:a16="http://schemas.microsoft.com/office/drawing/2014/main" id="{C493A42F-0299-4383-B407-3A8D84336F3A}"/>
            </a:ext>
          </a:extLst>
        </xdr:cNvPr>
        <xdr:cNvSpPr/>
      </xdr:nvSpPr>
      <xdr:spPr>
        <a:xfrm>
          <a:off x="3345656" y="259555"/>
          <a:ext cx="1273970" cy="5738813"/>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373856</xdr:colOff>
      <xdr:row>1</xdr:row>
      <xdr:rowOff>92867</xdr:rowOff>
    </xdr:from>
    <xdr:to>
      <xdr:col>19</xdr:col>
      <xdr:colOff>533400</xdr:colOff>
      <xdr:row>7</xdr:row>
      <xdr:rowOff>47625</xdr:rowOff>
    </xdr:to>
    <xdr:sp macro="" textlink="">
      <xdr:nvSpPr>
        <xdr:cNvPr id="4" name="Rectangle 3">
          <a:extLst>
            <a:ext uri="{FF2B5EF4-FFF2-40B4-BE49-F238E27FC236}">
              <a16:creationId xmlns:a16="http://schemas.microsoft.com/office/drawing/2014/main" id="{608D52D4-3828-4EFF-98F8-68DF3DE7C04C}"/>
            </a:ext>
          </a:extLst>
        </xdr:cNvPr>
        <xdr:cNvSpPr/>
      </xdr:nvSpPr>
      <xdr:spPr>
        <a:xfrm>
          <a:off x="4641056" y="254792"/>
          <a:ext cx="7474744" cy="926308"/>
        </a:xfrm>
        <a:prstGeom prst="rect">
          <a:avLst/>
        </a:prstGeom>
        <a:solidFill>
          <a:srgbClr val="7538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428625</xdr:colOff>
      <xdr:row>19</xdr:row>
      <xdr:rowOff>9530</xdr:rowOff>
    </xdr:from>
    <xdr:to>
      <xdr:col>19</xdr:col>
      <xdr:colOff>178593</xdr:colOff>
      <xdr:row>22</xdr:row>
      <xdr:rowOff>142876</xdr:rowOff>
    </xdr:to>
    <xdr:grpSp>
      <xdr:nvGrpSpPr>
        <xdr:cNvPr id="5" name="Group 4">
          <a:extLst>
            <a:ext uri="{FF2B5EF4-FFF2-40B4-BE49-F238E27FC236}">
              <a16:creationId xmlns:a16="http://schemas.microsoft.com/office/drawing/2014/main" id="{369AD66A-B7FF-45B1-BD60-253C3FF51656}"/>
            </a:ext>
          </a:extLst>
        </xdr:cNvPr>
        <xdr:cNvGrpSpPr/>
      </xdr:nvGrpSpPr>
      <xdr:grpSpPr>
        <a:xfrm>
          <a:off x="9536906" y="3176593"/>
          <a:ext cx="2178843" cy="633408"/>
          <a:chOff x="8001003" y="2069310"/>
          <a:chExt cx="2591834" cy="633407"/>
        </a:xfrm>
      </xdr:grpSpPr>
      <xdr:sp macro="" textlink="">
        <xdr:nvSpPr>
          <xdr:cNvPr id="6" name="Rectangle: Top Corners Rounded 5">
            <a:extLst>
              <a:ext uri="{FF2B5EF4-FFF2-40B4-BE49-F238E27FC236}">
                <a16:creationId xmlns:a16="http://schemas.microsoft.com/office/drawing/2014/main" id="{8D0CF029-5C9D-E251-7D94-09FBA5E3F96E}"/>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8F9D808C-FA83-8876-80B2-3808B6A08306}"/>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xdr:colOff>
      <xdr:row>8</xdr:row>
      <xdr:rowOff>46433</xdr:rowOff>
    </xdr:from>
    <xdr:to>
      <xdr:col>13</xdr:col>
      <xdr:colOff>285750</xdr:colOff>
      <xdr:row>18</xdr:row>
      <xdr:rowOff>46434</xdr:rowOff>
    </xdr:to>
    <xdr:sp macro="" textlink="">
      <xdr:nvSpPr>
        <xdr:cNvPr id="8" name="Rectangle: Rounded Corners 7">
          <a:extLst>
            <a:ext uri="{FF2B5EF4-FFF2-40B4-BE49-F238E27FC236}">
              <a16:creationId xmlns:a16="http://schemas.microsoft.com/office/drawing/2014/main" id="{18F7A1E7-18D6-467B-8E70-3EA1E1D9CE35}"/>
            </a:ext>
          </a:extLst>
        </xdr:cNvPr>
        <xdr:cNvSpPr/>
      </xdr:nvSpPr>
      <xdr:spPr>
        <a:xfrm>
          <a:off x="4888706" y="1341833"/>
          <a:ext cx="3321844"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521493</xdr:colOff>
      <xdr:row>8</xdr:row>
      <xdr:rowOff>46433</xdr:rowOff>
    </xdr:from>
    <xdr:to>
      <xdr:col>19</xdr:col>
      <xdr:colOff>188119</xdr:colOff>
      <xdr:row>18</xdr:row>
      <xdr:rowOff>46434</xdr:rowOff>
    </xdr:to>
    <xdr:sp macro="" textlink="">
      <xdr:nvSpPr>
        <xdr:cNvPr id="9" name="Rectangle: Rounded Corners 8">
          <a:extLst>
            <a:ext uri="{FF2B5EF4-FFF2-40B4-BE49-F238E27FC236}">
              <a16:creationId xmlns:a16="http://schemas.microsoft.com/office/drawing/2014/main" id="{66C17312-C013-440C-913E-911C6934C8B1}"/>
            </a:ext>
          </a:extLst>
        </xdr:cNvPr>
        <xdr:cNvSpPr/>
      </xdr:nvSpPr>
      <xdr:spPr>
        <a:xfrm>
          <a:off x="8481672" y="1352719"/>
          <a:ext cx="3340554" cy="163285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560325</xdr:colOff>
      <xdr:row>18</xdr:row>
      <xdr:rowOff>166226</xdr:rowOff>
    </xdr:from>
    <xdr:to>
      <xdr:col>15</xdr:col>
      <xdr:colOff>265051</xdr:colOff>
      <xdr:row>27</xdr:row>
      <xdr:rowOff>11907</xdr:rowOff>
    </xdr:to>
    <xdr:sp macro="" textlink="">
      <xdr:nvSpPr>
        <xdr:cNvPr id="10" name="Rectangle: Rounded Corners 9">
          <a:extLst>
            <a:ext uri="{FF2B5EF4-FFF2-40B4-BE49-F238E27FC236}">
              <a16:creationId xmlns:a16="http://schemas.microsoft.com/office/drawing/2014/main" id="{E904B32A-42DE-46CB-8429-D436BA4E774D}"/>
            </a:ext>
          </a:extLst>
        </xdr:cNvPr>
        <xdr:cNvSpPr/>
      </xdr:nvSpPr>
      <xdr:spPr>
        <a:xfrm>
          <a:off x="7265925" y="3080876"/>
          <a:ext cx="2143126"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23</xdr:row>
      <xdr:rowOff>30961</xdr:rowOff>
    </xdr:from>
    <xdr:to>
      <xdr:col>19</xdr:col>
      <xdr:colOff>188118</xdr:colOff>
      <xdr:row>27</xdr:row>
      <xdr:rowOff>3115</xdr:rowOff>
    </xdr:to>
    <xdr:grpSp>
      <xdr:nvGrpSpPr>
        <xdr:cNvPr id="11" name="Group 10">
          <a:extLst>
            <a:ext uri="{FF2B5EF4-FFF2-40B4-BE49-F238E27FC236}">
              <a16:creationId xmlns:a16="http://schemas.microsoft.com/office/drawing/2014/main" id="{05083276-1387-4955-94E6-EBB4EF090593}"/>
            </a:ext>
          </a:extLst>
        </xdr:cNvPr>
        <xdr:cNvGrpSpPr/>
      </xdr:nvGrpSpPr>
      <xdr:grpSpPr>
        <a:xfrm>
          <a:off x="9546431" y="3864774"/>
          <a:ext cx="2178843" cy="638904"/>
          <a:chOff x="8001003" y="2069310"/>
          <a:chExt cx="2591834" cy="633407"/>
        </a:xfrm>
      </xdr:grpSpPr>
      <xdr:sp macro="" textlink="">
        <xdr:nvSpPr>
          <xdr:cNvPr id="12" name="Rectangle: Top Corners Rounded 11">
            <a:extLst>
              <a:ext uri="{FF2B5EF4-FFF2-40B4-BE49-F238E27FC236}">
                <a16:creationId xmlns:a16="http://schemas.microsoft.com/office/drawing/2014/main" id="{02DF214B-D66E-7FFB-CFB9-B6F06B646A0F}"/>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CAB57A3E-F1C0-0707-5C8F-182EE97B029D}"/>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435768</xdr:colOff>
      <xdr:row>27</xdr:row>
      <xdr:rowOff>52393</xdr:rowOff>
    </xdr:from>
    <xdr:to>
      <xdr:col>19</xdr:col>
      <xdr:colOff>185736</xdr:colOff>
      <xdr:row>31</xdr:row>
      <xdr:rowOff>19051</xdr:rowOff>
    </xdr:to>
    <xdr:grpSp>
      <xdr:nvGrpSpPr>
        <xdr:cNvPr id="14" name="Group 13">
          <a:extLst>
            <a:ext uri="{FF2B5EF4-FFF2-40B4-BE49-F238E27FC236}">
              <a16:creationId xmlns:a16="http://schemas.microsoft.com/office/drawing/2014/main" id="{2B86AFD1-E817-4FC6-83BA-EAB0AF30B942}"/>
            </a:ext>
          </a:extLst>
        </xdr:cNvPr>
        <xdr:cNvGrpSpPr/>
      </xdr:nvGrpSpPr>
      <xdr:grpSpPr>
        <a:xfrm>
          <a:off x="9544049" y="4552956"/>
          <a:ext cx="2178843" cy="633408"/>
          <a:chOff x="8001003" y="2069310"/>
          <a:chExt cx="2591834" cy="633407"/>
        </a:xfrm>
      </xdr:grpSpPr>
      <xdr:sp macro="" textlink="">
        <xdr:nvSpPr>
          <xdr:cNvPr id="15" name="Rectangle: Top Corners Rounded 14">
            <a:extLst>
              <a:ext uri="{FF2B5EF4-FFF2-40B4-BE49-F238E27FC236}">
                <a16:creationId xmlns:a16="http://schemas.microsoft.com/office/drawing/2014/main" id="{D0478F90-2010-BCBD-A7C8-91A522FEDA70}"/>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9D26EE2B-07D8-8B1B-1F55-7ACA13DDD149}"/>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445293</xdr:colOff>
      <xdr:row>31</xdr:row>
      <xdr:rowOff>73824</xdr:rowOff>
    </xdr:from>
    <xdr:to>
      <xdr:col>19</xdr:col>
      <xdr:colOff>195261</xdr:colOff>
      <xdr:row>35</xdr:row>
      <xdr:rowOff>40482</xdr:rowOff>
    </xdr:to>
    <xdr:grpSp>
      <xdr:nvGrpSpPr>
        <xdr:cNvPr id="17" name="Group 16">
          <a:extLst>
            <a:ext uri="{FF2B5EF4-FFF2-40B4-BE49-F238E27FC236}">
              <a16:creationId xmlns:a16="http://schemas.microsoft.com/office/drawing/2014/main" id="{14276F36-B1CA-4B7D-8B6D-77974A3D7653}"/>
            </a:ext>
          </a:extLst>
        </xdr:cNvPr>
        <xdr:cNvGrpSpPr/>
      </xdr:nvGrpSpPr>
      <xdr:grpSpPr>
        <a:xfrm>
          <a:off x="9553574" y="5241137"/>
          <a:ext cx="2178843" cy="633408"/>
          <a:chOff x="8001003" y="2069310"/>
          <a:chExt cx="2591834" cy="633407"/>
        </a:xfrm>
      </xdr:grpSpPr>
      <xdr:sp macro="" textlink="">
        <xdr:nvSpPr>
          <xdr:cNvPr id="18" name="Rectangle: Top Corners Rounded 17">
            <a:extLst>
              <a:ext uri="{FF2B5EF4-FFF2-40B4-BE49-F238E27FC236}">
                <a16:creationId xmlns:a16="http://schemas.microsoft.com/office/drawing/2014/main" id="{A2A7B3D2-120F-5FE1-ABFF-0F7D55F30C9D}"/>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Top Corners Rounded 18">
            <a:extLst>
              <a:ext uri="{FF2B5EF4-FFF2-40B4-BE49-F238E27FC236}">
                <a16:creationId xmlns:a16="http://schemas.microsoft.com/office/drawing/2014/main" id="{FBCDEFAD-02CC-1ABD-1A28-F34FEEE6599A}"/>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22162</xdr:colOff>
      <xdr:row>18</xdr:row>
      <xdr:rowOff>163845</xdr:rowOff>
    </xdr:from>
    <xdr:to>
      <xdr:col>11</xdr:col>
      <xdr:colOff>440531</xdr:colOff>
      <xdr:row>27</xdr:row>
      <xdr:rowOff>9526</xdr:rowOff>
    </xdr:to>
    <xdr:sp macro="" textlink="">
      <xdr:nvSpPr>
        <xdr:cNvPr id="20" name="Rectangle: Rounded Corners 19">
          <a:extLst>
            <a:ext uri="{FF2B5EF4-FFF2-40B4-BE49-F238E27FC236}">
              <a16:creationId xmlns:a16="http://schemas.microsoft.com/office/drawing/2014/main" id="{8D4DE625-DD17-43D4-8DB6-B52627D46305}"/>
            </a:ext>
          </a:extLst>
        </xdr:cNvPr>
        <xdr:cNvSpPr/>
      </xdr:nvSpPr>
      <xdr:spPr>
        <a:xfrm>
          <a:off x="4879912" y="3164220"/>
          <a:ext cx="2240025" cy="1345869"/>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7874</xdr:colOff>
      <xdr:row>27</xdr:row>
      <xdr:rowOff>54306</xdr:rowOff>
    </xdr:from>
    <xdr:to>
      <xdr:col>11</xdr:col>
      <xdr:colOff>440531</xdr:colOff>
      <xdr:row>35</xdr:row>
      <xdr:rowOff>47624</xdr:rowOff>
    </xdr:to>
    <xdr:sp macro="" textlink="">
      <xdr:nvSpPr>
        <xdr:cNvPr id="21" name="Rectangle: Rounded Corners 20">
          <a:extLst>
            <a:ext uri="{FF2B5EF4-FFF2-40B4-BE49-F238E27FC236}">
              <a16:creationId xmlns:a16="http://schemas.microsoft.com/office/drawing/2014/main" id="{A8D79A83-B646-4D67-A826-66DFC65D6B5E}"/>
            </a:ext>
          </a:extLst>
        </xdr:cNvPr>
        <xdr:cNvSpPr/>
      </xdr:nvSpPr>
      <xdr:spPr>
        <a:xfrm>
          <a:off x="4884674" y="4426281"/>
          <a:ext cx="2261457" cy="128871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565087</xdr:colOff>
      <xdr:row>27</xdr:row>
      <xdr:rowOff>63832</xdr:rowOff>
    </xdr:from>
    <xdr:to>
      <xdr:col>15</xdr:col>
      <xdr:colOff>269813</xdr:colOff>
      <xdr:row>35</xdr:row>
      <xdr:rowOff>35718</xdr:rowOff>
    </xdr:to>
    <xdr:sp macro="" textlink="">
      <xdr:nvSpPr>
        <xdr:cNvPr id="22" name="Rectangle: Rounded Corners 21">
          <a:extLst>
            <a:ext uri="{FF2B5EF4-FFF2-40B4-BE49-F238E27FC236}">
              <a16:creationId xmlns:a16="http://schemas.microsoft.com/office/drawing/2014/main" id="{BA5D62D4-0264-4B83-9CA2-A1D4B4DCB18F}"/>
            </a:ext>
          </a:extLst>
        </xdr:cNvPr>
        <xdr:cNvSpPr/>
      </xdr:nvSpPr>
      <xdr:spPr>
        <a:xfrm>
          <a:off x="7270687" y="4435807"/>
          <a:ext cx="2143126" cy="126728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387804</xdr:colOff>
      <xdr:row>1</xdr:row>
      <xdr:rowOff>158183</xdr:rowOff>
    </xdr:from>
    <xdr:to>
      <xdr:col>20</xdr:col>
      <xdr:colOff>387804</xdr:colOff>
      <xdr:row>32</xdr:row>
      <xdr:rowOff>23472</xdr:rowOff>
    </xdr:to>
    <xdr:cxnSp macro="">
      <xdr:nvCxnSpPr>
        <xdr:cNvPr id="23" name="Straight Connector 22">
          <a:extLst>
            <a:ext uri="{FF2B5EF4-FFF2-40B4-BE49-F238E27FC236}">
              <a16:creationId xmlns:a16="http://schemas.microsoft.com/office/drawing/2014/main" id="{6EF7710F-8A50-438E-94F2-CD3D24CECC88}"/>
            </a:ext>
          </a:extLst>
        </xdr:cNvPr>
        <xdr:cNvCxnSpPr/>
      </xdr:nvCxnSpPr>
      <xdr:spPr>
        <a:xfrm flipV="1">
          <a:off x="12579804" y="320108"/>
          <a:ext cx="0" cy="48849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109537</xdr:colOff>
      <xdr:row>3</xdr:row>
      <xdr:rowOff>59530</xdr:rowOff>
    </xdr:from>
    <xdr:to>
      <xdr:col>6</xdr:col>
      <xdr:colOff>550068</xdr:colOff>
      <xdr:row>5</xdr:row>
      <xdr:rowOff>66674</xdr:rowOff>
    </xdr:to>
    <xdr:grpSp>
      <xdr:nvGrpSpPr>
        <xdr:cNvPr id="24" name="Group 23">
          <a:extLst>
            <a:ext uri="{FF2B5EF4-FFF2-40B4-BE49-F238E27FC236}">
              <a16:creationId xmlns:a16="http://schemas.microsoft.com/office/drawing/2014/main" id="{7961BCB4-758F-4B7A-90B1-BF31EFEF4350}"/>
            </a:ext>
          </a:extLst>
        </xdr:cNvPr>
        <xdr:cNvGrpSpPr/>
      </xdr:nvGrpSpPr>
      <xdr:grpSpPr>
        <a:xfrm>
          <a:off x="3752850" y="559593"/>
          <a:ext cx="440531" cy="340519"/>
          <a:chOff x="1300163" y="1166812"/>
          <a:chExt cx="440531" cy="340519"/>
        </a:xfrm>
      </xdr:grpSpPr>
      <xdr:sp macro="" textlink="">
        <xdr:nvSpPr>
          <xdr:cNvPr id="25" name="Rectangle 24">
            <a:extLst>
              <a:ext uri="{FF2B5EF4-FFF2-40B4-BE49-F238E27FC236}">
                <a16:creationId xmlns:a16="http://schemas.microsoft.com/office/drawing/2014/main" id="{675B27E6-9548-ED78-16EC-DE7AB0E01559}"/>
              </a:ext>
            </a:extLst>
          </xdr:cNvPr>
          <xdr:cNvSpPr/>
        </xdr:nvSpPr>
        <xdr:spPr>
          <a:xfrm>
            <a:off x="1300163" y="1166812"/>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6EF580CA-D94A-2F78-1EB8-DFC62EAF44ED}"/>
              </a:ext>
            </a:extLst>
          </xdr:cNvPr>
          <xdr:cNvSpPr/>
        </xdr:nvSpPr>
        <xdr:spPr>
          <a:xfrm>
            <a:off x="1300163" y="1295399"/>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D3D15B7F-C564-9DD9-5221-7036688FC5C0}"/>
              </a:ext>
            </a:extLst>
          </xdr:cNvPr>
          <xdr:cNvSpPr/>
        </xdr:nvSpPr>
        <xdr:spPr>
          <a:xfrm>
            <a:off x="1300163" y="1423987"/>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576604</xdr:colOff>
      <xdr:row>37</xdr:row>
      <xdr:rowOff>50009</xdr:rowOff>
    </xdr:from>
    <xdr:to>
      <xdr:col>20</xdr:col>
      <xdr:colOff>407535</xdr:colOff>
      <xdr:row>37</xdr:row>
      <xdr:rowOff>50009</xdr:rowOff>
    </xdr:to>
    <xdr:cxnSp macro="">
      <xdr:nvCxnSpPr>
        <xdr:cNvPr id="28" name="Straight Connector 27">
          <a:extLst>
            <a:ext uri="{FF2B5EF4-FFF2-40B4-BE49-F238E27FC236}">
              <a16:creationId xmlns:a16="http://schemas.microsoft.com/office/drawing/2014/main" id="{6E653487-7095-4299-A391-709E09B572BE}"/>
            </a:ext>
          </a:extLst>
        </xdr:cNvPr>
        <xdr:cNvCxnSpPr/>
      </xdr:nvCxnSpPr>
      <xdr:spPr>
        <a:xfrm flipH="1">
          <a:off x="3015004" y="6041234"/>
          <a:ext cx="958453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214311</xdr:colOff>
      <xdr:row>28</xdr:row>
      <xdr:rowOff>23808</xdr:rowOff>
    </xdr:from>
    <xdr:to>
      <xdr:col>6</xdr:col>
      <xdr:colOff>535781</xdr:colOff>
      <xdr:row>30</xdr:row>
      <xdr:rowOff>11902</xdr:rowOff>
    </xdr:to>
    <xdr:pic>
      <xdr:nvPicPr>
        <xdr:cNvPr id="29" name="Graphic 28" descr="Database">
          <a:extLst>
            <a:ext uri="{FF2B5EF4-FFF2-40B4-BE49-F238E27FC236}">
              <a16:creationId xmlns:a16="http://schemas.microsoft.com/office/drawing/2014/main" id="{AFF4A89A-D8AE-47F0-AB7C-03FA242141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57624" y="4691058"/>
          <a:ext cx="321470" cy="321469"/>
        </a:xfrm>
        <a:prstGeom prst="rect">
          <a:avLst/>
        </a:prstGeom>
      </xdr:spPr>
    </xdr:pic>
    <xdr:clientData/>
  </xdr:twoCellAnchor>
  <xdr:twoCellAnchor editAs="oneCell">
    <xdr:from>
      <xdr:col>6</xdr:col>
      <xdr:colOff>204109</xdr:colOff>
      <xdr:row>32</xdr:row>
      <xdr:rowOff>60617</xdr:rowOff>
    </xdr:from>
    <xdr:to>
      <xdr:col>6</xdr:col>
      <xdr:colOff>523875</xdr:colOff>
      <xdr:row>34</xdr:row>
      <xdr:rowOff>50655</xdr:rowOff>
    </xdr:to>
    <xdr:pic>
      <xdr:nvPicPr>
        <xdr:cNvPr id="31" name="Graphic 30" descr="Presentation with pie chart">
          <a:extLst>
            <a:ext uri="{FF2B5EF4-FFF2-40B4-BE49-F238E27FC236}">
              <a16:creationId xmlns:a16="http://schemas.microsoft.com/office/drawing/2014/main" id="{FF429329-191B-4762-917D-29A611D690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47422" y="5394617"/>
          <a:ext cx="319766" cy="323413"/>
        </a:xfrm>
        <a:prstGeom prst="rect">
          <a:avLst/>
        </a:prstGeom>
      </xdr:spPr>
    </xdr:pic>
    <xdr:clientData/>
  </xdr:twoCellAnchor>
  <xdr:twoCellAnchor>
    <xdr:from>
      <xdr:col>7</xdr:col>
      <xdr:colOff>476251</xdr:colOff>
      <xdr:row>2</xdr:row>
      <xdr:rowOff>102054</xdr:rowOff>
    </xdr:from>
    <xdr:to>
      <xdr:col>19</xdr:col>
      <xdr:colOff>81643</xdr:colOff>
      <xdr:row>4</xdr:row>
      <xdr:rowOff>107155</xdr:rowOff>
    </xdr:to>
    <xdr:grpSp>
      <xdr:nvGrpSpPr>
        <xdr:cNvPr id="32" name="Group 31">
          <a:extLst>
            <a:ext uri="{FF2B5EF4-FFF2-40B4-BE49-F238E27FC236}">
              <a16:creationId xmlns:a16="http://schemas.microsoft.com/office/drawing/2014/main" id="{12462BB6-4E10-44C2-85EE-9E85008FDD5A}"/>
            </a:ext>
          </a:extLst>
        </xdr:cNvPr>
        <xdr:cNvGrpSpPr/>
      </xdr:nvGrpSpPr>
      <xdr:grpSpPr>
        <a:xfrm>
          <a:off x="4726782" y="435429"/>
          <a:ext cx="6892017" cy="338476"/>
          <a:chOff x="4726782" y="649743"/>
          <a:chExt cx="6892017" cy="338476"/>
        </a:xfrm>
      </xdr:grpSpPr>
      <xdr:sp macro="" textlink="">
        <xdr:nvSpPr>
          <xdr:cNvPr id="33" name="TextBox 32">
            <a:extLst>
              <a:ext uri="{FF2B5EF4-FFF2-40B4-BE49-F238E27FC236}">
                <a16:creationId xmlns:a16="http://schemas.microsoft.com/office/drawing/2014/main" id="{062AF418-0F39-99BA-1EFB-732459C50AEF}"/>
              </a:ext>
            </a:extLst>
          </xdr:cNvPr>
          <xdr:cNvSpPr txBox="1"/>
        </xdr:nvSpPr>
        <xdr:spPr>
          <a:xfrm>
            <a:off x="4726782" y="678656"/>
            <a:ext cx="2500312"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Lucida Console" panose="020B0609040504020204" pitchFamily="49" charset="0"/>
              </a:rPr>
              <a:t>Amaefule Store®</a:t>
            </a:r>
          </a:p>
        </xdr:txBody>
      </xdr:sp>
      <xdr:sp macro="" textlink="">
        <xdr:nvSpPr>
          <xdr:cNvPr id="34" name="Rectangle: Rounded Corners 33">
            <a:extLst>
              <a:ext uri="{FF2B5EF4-FFF2-40B4-BE49-F238E27FC236}">
                <a16:creationId xmlns:a16="http://schemas.microsoft.com/office/drawing/2014/main" id="{4917426D-7D8E-8E56-5643-6B9CBEBED0FF}"/>
              </a:ext>
            </a:extLst>
          </xdr:cNvPr>
          <xdr:cNvSpPr/>
        </xdr:nvSpPr>
        <xdr:spPr>
          <a:xfrm>
            <a:off x="7655718" y="726281"/>
            <a:ext cx="2405063" cy="190500"/>
          </a:xfrm>
          <a:prstGeom prst="roundRect">
            <a:avLst>
              <a:gd name="adj" fmla="val 5000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F3F85438-CDCB-7229-EF34-8A4678A20802}"/>
              </a:ext>
            </a:extLst>
          </xdr:cNvPr>
          <xdr:cNvGrpSpPr/>
        </xdr:nvGrpSpPr>
        <xdr:grpSpPr>
          <a:xfrm>
            <a:off x="11038792" y="649743"/>
            <a:ext cx="182880" cy="281123"/>
            <a:chOff x="13471071" y="680357"/>
            <a:chExt cx="435430" cy="544287"/>
          </a:xfrm>
        </xdr:grpSpPr>
        <xdr:pic>
          <xdr:nvPicPr>
            <xdr:cNvPr id="40" name="Graphic 39" descr="Ringer">
              <a:extLst>
                <a:ext uri="{FF2B5EF4-FFF2-40B4-BE49-F238E27FC236}">
                  <a16:creationId xmlns:a16="http://schemas.microsoft.com/office/drawing/2014/main" id="{DD811D6F-C71D-435E-0224-7E9C1EC26E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71071" y="816429"/>
              <a:ext cx="408215" cy="408215"/>
            </a:xfrm>
            <a:prstGeom prst="rect">
              <a:avLst/>
            </a:prstGeom>
          </xdr:spPr>
        </xdr:pic>
        <xdr:grpSp>
          <xdr:nvGrpSpPr>
            <xdr:cNvPr id="41" name="Group 40">
              <a:extLst>
                <a:ext uri="{FF2B5EF4-FFF2-40B4-BE49-F238E27FC236}">
                  <a16:creationId xmlns:a16="http://schemas.microsoft.com/office/drawing/2014/main" id="{62F34B90-A63F-DF86-BC77-9E7CEACA8C0A}"/>
                </a:ext>
              </a:extLst>
            </xdr:cNvPr>
            <xdr:cNvGrpSpPr/>
          </xdr:nvGrpSpPr>
          <xdr:grpSpPr>
            <a:xfrm>
              <a:off x="13647966" y="680357"/>
              <a:ext cx="258535" cy="299356"/>
              <a:chOff x="15444107" y="2408464"/>
              <a:chExt cx="762000" cy="762000"/>
            </a:xfrm>
          </xdr:grpSpPr>
          <xdr:sp macro="" textlink="">
            <xdr:nvSpPr>
              <xdr:cNvPr id="42" name="Oval 41">
                <a:extLst>
                  <a:ext uri="{FF2B5EF4-FFF2-40B4-BE49-F238E27FC236}">
                    <a16:creationId xmlns:a16="http://schemas.microsoft.com/office/drawing/2014/main" id="{D2E83BB3-70C8-1C75-5809-7E8F7B438529}"/>
                  </a:ext>
                </a:extLst>
              </xdr:cNvPr>
              <xdr:cNvSpPr/>
            </xdr:nvSpPr>
            <xdr:spPr>
              <a:xfrm>
                <a:off x="15444107" y="2408464"/>
                <a:ext cx="762000" cy="76200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400" b="1">
                  <a:latin typeface="Bodoni MT Black" panose="02070A03080606020203" pitchFamily="18" charset="0"/>
                </a:endParaRPr>
              </a:p>
            </xdr:txBody>
          </xdr:sp>
          <xdr:sp macro="" textlink="">
            <xdr:nvSpPr>
              <xdr:cNvPr id="43" name="TextBox 42">
                <a:extLst>
                  <a:ext uri="{FF2B5EF4-FFF2-40B4-BE49-F238E27FC236}">
                    <a16:creationId xmlns:a16="http://schemas.microsoft.com/office/drawing/2014/main" id="{72A7BECC-9EC9-E80C-45AF-AB280CE37814}"/>
                  </a:ext>
                </a:extLst>
              </xdr:cNvPr>
              <xdr:cNvSpPr txBox="1"/>
            </xdr:nvSpPr>
            <xdr:spPr>
              <a:xfrm>
                <a:off x="15689036" y="2612570"/>
                <a:ext cx="285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Bodoni MT Black" panose="02070A03080606020203" pitchFamily="18" charset="0"/>
                  </a:rPr>
                  <a:t>3</a:t>
                </a:r>
              </a:p>
            </xdr:txBody>
          </xdr:sp>
        </xdr:grpSp>
      </xdr:grpSp>
      <xdr:grpSp>
        <xdr:nvGrpSpPr>
          <xdr:cNvPr id="36" name="Group 35">
            <a:extLst>
              <a:ext uri="{FF2B5EF4-FFF2-40B4-BE49-F238E27FC236}">
                <a16:creationId xmlns:a16="http://schemas.microsoft.com/office/drawing/2014/main" id="{205636B2-B429-D7EA-9AEA-6432E5EA51D4}"/>
              </a:ext>
            </a:extLst>
          </xdr:cNvPr>
          <xdr:cNvGrpSpPr/>
        </xdr:nvGrpSpPr>
        <xdr:grpSpPr>
          <a:xfrm>
            <a:off x="11297330" y="779690"/>
            <a:ext cx="321469" cy="80962"/>
            <a:chOff x="13171714" y="1827439"/>
            <a:chExt cx="495304" cy="149679"/>
          </a:xfrm>
          <a:solidFill>
            <a:schemeClr val="bg1"/>
          </a:solidFill>
        </xdr:grpSpPr>
        <xdr:sp macro="" textlink="">
          <xdr:nvSpPr>
            <xdr:cNvPr id="37" name="Oval 36">
              <a:extLst>
                <a:ext uri="{FF2B5EF4-FFF2-40B4-BE49-F238E27FC236}">
                  <a16:creationId xmlns:a16="http://schemas.microsoft.com/office/drawing/2014/main" id="{FEAB4840-1BCE-6BEF-EDF3-22A70F3D75FF}"/>
                </a:ext>
              </a:extLst>
            </xdr:cNvPr>
            <xdr:cNvSpPr/>
          </xdr:nvSpPr>
          <xdr:spPr>
            <a:xfrm>
              <a:off x="13171714"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8" name="Oval 37">
              <a:extLst>
                <a:ext uri="{FF2B5EF4-FFF2-40B4-BE49-F238E27FC236}">
                  <a16:creationId xmlns:a16="http://schemas.microsoft.com/office/drawing/2014/main" id="{E3E1CA83-8D2E-D1C6-07E2-9866C0B16AB0}"/>
                </a:ext>
              </a:extLst>
            </xdr:cNvPr>
            <xdr:cNvSpPr/>
          </xdr:nvSpPr>
          <xdr:spPr>
            <a:xfrm>
              <a:off x="13351330"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9" name="Oval 38">
              <a:extLst>
                <a:ext uri="{FF2B5EF4-FFF2-40B4-BE49-F238E27FC236}">
                  <a16:creationId xmlns:a16="http://schemas.microsoft.com/office/drawing/2014/main" id="{F454A351-4E59-B417-F4DE-C581B89C74BC}"/>
                </a:ext>
              </a:extLst>
            </xdr:cNvPr>
            <xdr:cNvSpPr/>
          </xdr:nvSpPr>
          <xdr:spPr>
            <a:xfrm>
              <a:off x="13530946"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clientData/>
  </xdr:twoCellAnchor>
  <xdr:twoCellAnchor>
    <xdr:from>
      <xdr:col>8</xdr:col>
      <xdr:colOff>89648</xdr:colOff>
      <xdr:row>8</xdr:row>
      <xdr:rowOff>81643</xdr:rowOff>
    </xdr:from>
    <xdr:to>
      <xdr:col>10</xdr:col>
      <xdr:colOff>595161</xdr:colOff>
      <xdr:row>9</xdr:row>
      <xdr:rowOff>123265</xdr:rowOff>
    </xdr:to>
    <xdr:sp macro="" textlink="">
      <xdr:nvSpPr>
        <xdr:cNvPr id="44" name="TextBox 43">
          <a:extLst>
            <a:ext uri="{FF2B5EF4-FFF2-40B4-BE49-F238E27FC236}">
              <a16:creationId xmlns:a16="http://schemas.microsoft.com/office/drawing/2014/main" id="{52AB8193-0D3B-441C-A576-3134F261F517}"/>
            </a:ext>
          </a:extLst>
        </xdr:cNvPr>
        <xdr:cNvSpPr txBox="1"/>
      </xdr:nvSpPr>
      <xdr:spPr>
        <a:xfrm flipH="1">
          <a:off x="4966448" y="1377043"/>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Months</a:t>
          </a:r>
          <a:endParaRPr lang="en-US" sz="1050">
            <a:latin typeface="Lucida Console" panose="020B0609040504020204" pitchFamily="49" charset="0"/>
          </a:endParaRPr>
        </a:p>
      </xdr:txBody>
    </xdr:sp>
    <xdr:clientData/>
  </xdr:twoCellAnchor>
  <xdr:twoCellAnchor>
    <xdr:from>
      <xdr:col>13</xdr:col>
      <xdr:colOff>600637</xdr:colOff>
      <xdr:row>8</xdr:row>
      <xdr:rowOff>88367</xdr:rowOff>
    </xdr:from>
    <xdr:to>
      <xdr:col>16</xdr:col>
      <xdr:colOff>501032</xdr:colOff>
      <xdr:row>9</xdr:row>
      <xdr:rowOff>129989</xdr:rowOff>
    </xdr:to>
    <xdr:sp macro="" textlink="">
      <xdr:nvSpPr>
        <xdr:cNvPr id="45" name="TextBox 44">
          <a:extLst>
            <a:ext uri="{FF2B5EF4-FFF2-40B4-BE49-F238E27FC236}">
              <a16:creationId xmlns:a16="http://schemas.microsoft.com/office/drawing/2014/main" id="{8AE7782D-3118-493E-A583-0F6C528CF840}"/>
            </a:ext>
          </a:extLst>
        </xdr:cNvPr>
        <xdr:cNvSpPr txBox="1"/>
      </xdr:nvSpPr>
      <xdr:spPr>
        <a:xfrm flipH="1">
          <a:off x="8525437" y="1383767"/>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Cities</a:t>
          </a:r>
          <a:endParaRPr lang="en-US" sz="1050">
            <a:latin typeface="Lucida Console" panose="020B0609040504020204" pitchFamily="49" charset="0"/>
          </a:endParaRPr>
        </a:p>
      </xdr:txBody>
    </xdr:sp>
    <xdr:clientData/>
  </xdr:twoCellAnchor>
  <xdr:twoCellAnchor>
    <xdr:from>
      <xdr:col>8</xdr:col>
      <xdr:colOff>13448</xdr:colOff>
      <xdr:row>19</xdr:row>
      <xdr:rowOff>27855</xdr:rowOff>
    </xdr:from>
    <xdr:to>
      <xdr:col>10</xdr:col>
      <xdr:colOff>518961</xdr:colOff>
      <xdr:row>20</xdr:row>
      <xdr:rowOff>69477</xdr:rowOff>
    </xdr:to>
    <xdr:sp macro="" textlink="">
      <xdr:nvSpPr>
        <xdr:cNvPr id="46" name="TextBox 45">
          <a:extLst>
            <a:ext uri="{FF2B5EF4-FFF2-40B4-BE49-F238E27FC236}">
              <a16:creationId xmlns:a16="http://schemas.microsoft.com/office/drawing/2014/main" id="{FD9FC4BA-A675-4100-8908-2803E3466587}"/>
            </a:ext>
          </a:extLst>
        </xdr:cNvPr>
        <xdr:cNvSpPr txBox="1"/>
      </xdr:nvSpPr>
      <xdr:spPr>
        <a:xfrm flipH="1">
          <a:off x="4890248" y="3104430"/>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11</xdr:col>
      <xdr:colOff>602877</xdr:colOff>
      <xdr:row>19</xdr:row>
      <xdr:rowOff>45784</xdr:rowOff>
    </xdr:from>
    <xdr:to>
      <xdr:col>14</xdr:col>
      <xdr:colOff>503272</xdr:colOff>
      <xdr:row>20</xdr:row>
      <xdr:rowOff>87406</xdr:rowOff>
    </xdr:to>
    <xdr:sp macro="" textlink="">
      <xdr:nvSpPr>
        <xdr:cNvPr id="47" name="TextBox 46">
          <a:extLst>
            <a:ext uri="{FF2B5EF4-FFF2-40B4-BE49-F238E27FC236}">
              <a16:creationId xmlns:a16="http://schemas.microsoft.com/office/drawing/2014/main" id="{297AC09F-18D2-4209-8577-A4E3556C1C61}"/>
            </a:ext>
          </a:extLst>
        </xdr:cNvPr>
        <xdr:cNvSpPr txBox="1"/>
      </xdr:nvSpPr>
      <xdr:spPr>
        <a:xfrm flipH="1">
          <a:off x="7308477" y="3122359"/>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Months</a:t>
          </a:r>
          <a:endParaRPr lang="en-US" sz="900">
            <a:latin typeface="Lucida Console" panose="020B0609040504020204" pitchFamily="49" charset="0"/>
          </a:endParaRPr>
        </a:p>
      </xdr:txBody>
    </xdr:sp>
    <xdr:clientData/>
  </xdr:twoCellAnchor>
  <xdr:twoCellAnchor>
    <xdr:from>
      <xdr:col>8</xdr:col>
      <xdr:colOff>38100</xdr:colOff>
      <xdr:row>27</xdr:row>
      <xdr:rowOff>130948</xdr:rowOff>
    </xdr:from>
    <xdr:to>
      <xdr:col>10</xdr:col>
      <xdr:colOff>543613</xdr:colOff>
      <xdr:row>29</xdr:row>
      <xdr:rowOff>15688</xdr:rowOff>
    </xdr:to>
    <xdr:sp macro="" textlink="">
      <xdr:nvSpPr>
        <xdr:cNvPr id="48" name="TextBox 47">
          <a:extLst>
            <a:ext uri="{FF2B5EF4-FFF2-40B4-BE49-F238E27FC236}">
              <a16:creationId xmlns:a16="http://schemas.microsoft.com/office/drawing/2014/main" id="{276AC25B-9C48-4D31-890F-B3175695EB46}"/>
            </a:ext>
          </a:extLst>
        </xdr:cNvPr>
        <xdr:cNvSpPr txBox="1"/>
      </xdr:nvSpPr>
      <xdr:spPr>
        <a:xfrm flipH="1">
          <a:off x="4914900" y="4502923"/>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12</xdr:col>
      <xdr:colOff>22412</xdr:colOff>
      <xdr:row>27</xdr:row>
      <xdr:rowOff>126466</xdr:rowOff>
    </xdr:from>
    <xdr:to>
      <xdr:col>14</xdr:col>
      <xdr:colOff>527925</xdr:colOff>
      <xdr:row>29</xdr:row>
      <xdr:rowOff>11206</xdr:rowOff>
    </xdr:to>
    <xdr:sp macro="" textlink="">
      <xdr:nvSpPr>
        <xdr:cNvPr id="49" name="TextBox 48">
          <a:extLst>
            <a:ext uri="{FF2B5EF4-FFF2-40B4-BE49-F238E27FC236}">
              <a16:creationId xmlns:a16="http://schemas.microsoft.com/office/drawing/2014/main" id="{DD26BBC5-D882-4945-8147-67B6229E0E1F}"/>
            </a:ext>
          </a:extLst>
        </xdr:cNvPr>
        <xdr:cNvSpPr txBox="1"/>
      </xdr:nvSpPr>
      <xdr:spPr>
        <a:xfrm flipH="1">
          <a:off x="7337612" y="4498441"/>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Sales-Rep</a:t>
          </a:r>
          <a:endParaRPr lang="en-US" sz="900">
            <a:latin typeface="Lucida Console" panose="020B0609040504020204" pitchFamily="49" charset="0"/>
          </a:endParaRPr>
        </a:p>
      </xdr:txBody>
    </xdr:sp>
    <xdr:clientData/>
  </xdr:twoCellAnchor>
  <xdr:twoCellAnchor editAs="oneCell">
    <xdr:from>
      <xdr:col>16</xdr:col>
      <xdr:colOff>142874</xdr:colOff>
      <xdr:row>3</xdr:row>
      <xdr:rowOff>11907</xdr:rowOff>
    </xdr:from>
    <xdr:to>
      <xdr:col>16</xdr:col>
      <xdr:colOff>309561</xdr:colOff>
      <xdr:row>4</xdr:row>
      <xdr:rowOff>11907</xdr:rowOff>
    </xdr:to>
    <xdr:pic>
      <xdr:nvPicPr>
        <xdr:cNvPr id="50" name="Graphic 49" descr="Magnifying glass">
          <a:extLst>
            <a:ext uri="{FF2B5EF4-FFF2-40B4-BE49-F238E27FC236}">
              <a16:creationId xmlns:a16="http://schemas.microsoft.com/office/drawing/2014/main" id="{DB8591BB-C1DD-4B3D-8C59-A042704E90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96474" y="497682"/>
          <a:ext cx="166687" cy="161925"/>
        </a:xfrm>
        <a:prstGeom prst="rect">
          <a:avLst/>
        </a:prstGeom>
      </xdr:spPr>
    </xdr:pic>
    <xdr:clientData/>
  </xdr:twoCellAnchor>
  <xdr:twoCellAnchor>
    <xdr:from>
      <xdr:col>7</xdr:col>
      <xdr:colOff>489556</xdr:colOff>
      <xdr:row>4</xdr:row>
      <xdr:rowOff>146075</xdr:rowOff>
    </xdr:from>
    <xdr:to>
      <xdr:col>13</xdr:col>
      <xdr:colOff>535779</xdr:colOff>
      <xdr:row>6</xdr:row>
      <xdr:rowOff>47623</xdr:rowOff>
    </xdr:to>
    <xdr:sp macro="" textlink="">
      <xdr:nvSpPr>
        <xdr:cNvPr id="51" name="TextBox 50">
          <a:extLst>
            <a:ext uri="{FF2B5EF4-FFF2-40B4-BE49-F238E27FC236}">
              <a16:creationId xmlns:a16="http://schemas.microsoft.com/office/drawing/2014/main" id="{47095344-052E-4F49-8EEE-304CCE334850}"/>
            </a:ext>
          </a:extLst>
        </xdr:cNvPr>
        <xdr:cNvSpPr txBox="1"/>
      </xdr:nvSpPr>
      <xdr:spPr>
        <a:xfrm flipH="1">
          <a:off x="4756756" y="793775"/>
          <a:ext cx="3703823" cy="225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Lucida Console" panose="020B0609040504020204" pitchFamily="49" charset="0"/>
            </a:rPr>
            <a:t>How is our sales performing?</a:t>
          </a:r>
        </a:p>
      </xdr:txBody>
    </xdr:sp>
    <xdr:clientData/>
  </xdr:twoCellAnchor>
  <xdr:twoCellAnchor>
    <xdr:from>
      <xdr:col>17</xdr:col>
      <xdr:colOff>469105</xdr:colOff>
      <xdr:row>19</xdr:row>
      <xdr:rowOff>166686</xdr:rowOff>
    </xdr:from>
    <xdr:to>
      <xdr:col>18</xdr:col>
      <xdr:colOff>528636</xdr:colOff>
      <xdr:row>21</xdr:row>
      <xdr:rowOff>142873</xdr:rowOff>
    </xdr:to>
    <xdr:sp macro="" textlink="TOTAL_CUSTOMERS">
      <xdr:nvSpPr>
        <xdr:cNvPr id="52" name="TextBox 51">
          <a:extLst>
            <a:ext uri="{FF2B5EF4-FFF2-40B4-BE49-F238E27FC236}">
              <a16:creationId xmlns:a16="http://schemas.microsoft.com/office/drawing/2014/main" id="{DB813E37-0CA4-491A-A065-664B88320801}"/>
            </a:ext>
          </a:extLst>
        </xdr:cNvPr>
        <xdr:cNvSpPr txBox="1"/>
      </xdr:nvSpPr>
      <xdr:spPr>
        <a:xfrm>
          <a:off x="10832305" y="3243261"/>
          <a:ext cx="66913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24F914-C5D9-4599-98A9-9D2D3921B59C}" type="TxLink">
            <a:rPr lang="en-US" sz="1800" b="1" i="0" u="none" strike="noStrike">
              <a:solidFill>
                <a:schemeClr val="bg1"/>
              </a:solidFill>
              <a:latin typeface="Lucida Console" panose="020B0609040504020204" pitchFamily="49" charset="0"/>
              <a:ea typeface="+mn-ea"/>
              <a:cs typeface="Arial"/>
            </a:rPr>
            <a:pPr marL="0" indent="0"/>
            <a:t>700</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223836</xdr:colOff>
      <xdr:row>24</xdr:row>
      <xdr:rowOff>16668</xdr:rowOff>
    </xdr:from>
    <xdr:to>
      <xdr:col>19</xdr:col>
      <xdr:colOff>166687</xdr:colOff>
      <xdr:row>25</xdr:row>
      <xdr:rowOff>161924</xdr:rowOff>
    </xdr:to>
    <xdr:sp macro="" textlink="TOTAL_SALES">
      <xdr:nvSpPr>
        <xdr:cNvPr id="53" name="TextBox 52">
          <a:extLst>
            <a:ext uri="{FF2B5EF4-FFF2-40B4-BE49-F238E27FC236}">
              <a16:creationId xmlns:a16="http://schemas.microsoft.com/office/drawing/2014/main" id="{B5C08D2B-C632-4A57-8AFF-99D70A199C95}"/>
            </a:ext>
          </a:extLst>
        </xdr:cNvPr>
        <xdr:cNvSpPr txBox="1"/>
      </xdr:nvSpPr>
      <xdr:spPr>
        <a:xfrm>
          <a:off x="10587036" y="3902868"/>
          <a:ext cx="1162051" cy="30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0178F1-60D6-406B-883C-2824C8ADF6E9}" type="TxLink">
            <a:rPr lang="en-US" sz="1800" b="1" i="0" u="none" strike="noStrike">
              <a:solidFill>
                <a:schemeClr val="bg1"/>
              </a:solidFill>
              <a:latin typeface="Lucida Console" panose="020B0609040504020204" pitchFamily="49" charset="0"/>
              <a:ea typeface="+mn-ea"/>
              <a:cs typeface="Arial"/>
            </a:rPr>
            <a:pPr marL="0" indent="0"/>
            <a:t>$472.8K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28</xdr:row>
      <xdr:rowOff>35719</xdr:rowOff>
    </xdr:from>
    <xdr:to>
      <xdr:col>19</xdr:col>
      <xdr:colOff>4762</xdr:colOff>
      <xdr:row>30</xdr:row>
      <xdr:rowOff>11906</xdr:rowOff>
    </xdr:to>
    <xdr:sp macro="" textlink="TOTAL_QTY">
      <xdr:nvSpPr>
        <xdr:cNvPr id="54" name="TextBox 53">
          <a:extLst>
            <a:ext uri="{FF2B5EF4-FFF2-40B4-BE49-F238E27FC236}">
              <a16:creationId xmlns:a16="http://schemas.microsoft.com/office/drawing/2014/main" id="{6B880E1D-CE0E-499D-9E9C-551DAE1869C3}"/>
            </a:ext>
          </a:extLst>
        </xdr:cNvPr>
        <xdr:cNvSpPr txBox="1"/>
      </xdr:nvSpPr>
      <xdr:spPr>
        <a:xfrm>
          <a:off x="10748961" y="4569619"/>
          <a:ext cx="83820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F3F0BF-AFF3-44E9-9F59-502B98A54EB7}" type="TxLink">
            <a:rPr lang="en-US" sz="1800" b="1" i="0" u="none" strike="noStrike">
              <a:solidFill>
                <a:schemeClr val="bg1"/>
              </a:solidFill>
              <a:latin typeface="Lucida Console" panose="020B0609040504020204" pitchFamily="49" charset="0"/>
              <a:ea typeface="+mn-ea"/>
              <a:cs typeface="Arial"/>
            </a:rPr>
            <a:pPr marL="0" indent="0"/>
            <a:t>1.7K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32</xdr:row>
      <xdr:rowOff>52387</xdr:rowOff>
    </xdr:from>
    <xdr:to>
      <xdr:col>19</xdr:col>
      <xdr:colOff>4762</xdr:colOff>
      <xdr:row>34</xdr:row>
      <xdr:rowOff>28574</xdr:rowOff>
    </xdr:to>
    <xdr:sp macro="" textlink="AVERAGE_SALES_VALUE">
      <xdr:nvSpPr>
        <xdr:cNvPr id="55" name="TextBox 54">
          <a:extLst>
            <a:ext uri="{FF2B5EF4-FFF2-40B4-BE49-F238E27FC236}">
              <a16:creationId xmlns:a16="http://schemas.microsoft.com/office/drawing/2014/main" id="{E392CEDB-9325-4DEE-BF46-9348D1B95CBF}"/>
            </a:ext>
          </a:extLst>
        </xdr:cNvPr>
        <xdr:cNvSpPr txBox="1"/>
      </xdr:nvSpPr>
      <xdr:spPr>
        <a:xfrm>
          <a:off x="10748961" y="5233987"/>
          <a:ext cx="83820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B05866-CF71-4328-9C16-7ABE01253FE3}" type="TxLink">
            <a:rPr lang="en-US" sz="1800" b="1" i="0" u="none" strike="noStrike">
              <a:solidFill>
                <a:schemeClr val="bg1"/>
              </a:solidFill>
              <a:latin typeface="Lucida Console" panose="020B0609040504020204" pitchFamily="49" charset="0"/>
              <a:ea typeface="+mn-ea"/>
              <a:cs typeface="Arial"/>
            </a:rPr>
            <a:pPr marL="0" indent="0"/>
            <a:t>575</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15</xdr:col>
      <xdr:colOff>426663</xdr:colOff>
      <xdr:row>19</xdr:row>
      <xdr:rowOff>62452</xdr:rowOff>
    </xdr:from>
    <xdr:to>
      <xdr:col>17</xdr:col>
      <xdr:colOff>226218</xdr:colOff>
      <xdr:row>20</xdr:row>
      <xdr:rowOff>107156</xdr:rowOff>
    </xdr:to>
    <xdr:sp macro="" textlink="">
      <xdr:nvSpPr>
        <xdr:cNvPr id="56" name="TextBox 55">
          <a:extLst>
            <a:ext uri="{FF2B5EF4-FFF2-40B4-BE49-F238E27FC236}">
              <a16:creationId xmlns:a16="http://schemas.microsoft.com/office/drawing/2014/main" id="{B5D7AC75-368F-4737-B459-4BC7BA4AFBE7}"/>
            </a:ext>
          </a:extLst>
        </xdr:cNvPr>
        <xdr:cNvSpPr txBox="1"/>
      </xdr:nvSpPr>
      <xdr:spPr>
        <a:xfrm flipH="1">
          <a:off x="9570663" y="3139027"/>
          <a:ext cx="1018755"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Customers</a:t>
          </a:r>
        </a:p>
      </xdr:txBody>
    </xdr:sp>
    <xdr:clientData/>
  </xdr:twoCellAnchor>
  <xdr:twoCellAnchor>
    <xdr:from>
      <xdr:col>15</xdr:col>
      <xdr:colOff>471904</xdr:colOff>
      <xdr:row>23</xdr:row>
      <xdr:rowOff>95790</xdr:rowOff>
    </xdr:from>
    <xdr:to>
      <xdr:col>17</xdr:col>
      <xdr:colOff>250029</xdr:colOff>
      <xdr:row>25</xdr:row>
      <xdr:rowOff>23812</xdr:rowOff>
    </xdr:to>
    <xdr:sp macro="" textlink="">
      <xdr:nvSpPr>
        <xdr:cNvPr id="57" name="TextBox 56">
          <a:extLst>
            <a:ext uri="{FF2B5EF4-FFF2-40B4-BE49-F238E27FC236}">
              <a16:creationId xmlns:a16="http://schemas.microsoft.com/office/drawing/2014/main" id="{F64F9600-C126-46FC-B32A-F7F3F293C0D4}"/>
            </a:ext>
          </a:extLst>
        </xdr:cNvPr>
        <xdr:cNvSpPr txBox="1"/>
      </xdr:nvSpPr>
      <xdr:spPr>
        <a:xfrm flipH="1">
          <a:off x="9615904" y="3820065"/>
          <a:ext cx="997325" cy="25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Revenue</a:t>
          </a:r>
        </a:p>
      </xdr:txBody>
    </xdr:sp>
    <xdr:clientData/>
  </xdr:twoCellAnchor>
  <xdr:twoCellAnchor>
    <xdr:from>
      <xdr:col>15</xdr:col>
      <xdr:colOff>421898</xdr:colOff>
      <xdr:row>27</xdr:row>
      <xdr:rowOff>117221</xdr:rowOff>
    </xdr:from>
    <xdr:to>
      <xdr:col>17</xdr:col>
      <xdr:colOff>200023</xdr:colOff>
      <xdr:row>29</xdr:row>
      <xdr:rowOff>45243</xdr:rowOff>
    </xdr:to>
    <xdr:sp macro="" textlink="">
      <xdr:nvSpPr>
        <xdr:cNvPr id="58" name="TextBox 57">
          <a:extLst>
            <a:ext uri="{FF2B5EF4-FFF2-40B4-BE49-F238E27FC236}">
              <a16:creationId xmlns:a16="http://schemas.microsoft.com/office/drawing/2014/main" id="{3B6F7811-547D-4A81-A6F4-86C5F020E9CB}"/>
            </a:ext>
          </a:extLst>
        </xdr:cNvPr>
        <xdr:cNvSpPr txBox="1"/>
      </xdr:nvSpPr>
      <xdr:spPr>
        <a:xfrm flipH="1">
          <a:off x="9565898" y="4489196"/>
          <a:ext cx="997325" cy="25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Quantity</a:t>
          </a:r>
        </a:p>
      </xdr:txBody>
    </xdr:sp>
    <xdr:clientData/>
  </xdr:twoCellAnchor>
  <xdr:twoCellAnchor>
    <xdr:from>
      <xdr:col>15</xdr:col>
      <xdr:colOff>538572</xdr:colOff>
      <xdr:row>31</xdr:row>
      <xdr:rowOff>102935</xdr:rowOff>
    </xdr:from>
    <xdr:to>
      <xdr:col>17</xdr:col>
      <xdr:colOff>142873</xdr:colOff>
      <xdr:row>33</xdr:row>
      <xdr:rowOff>154781</xdr:rowOff>
    </xdr:to>
    <xdr:sp macro="" textlink="">
      <xdr:nvSpPr>
        <xdr:cNvPr id="59" name="TextBox 58">
          <a:extLst>
            <a:ext uri="{FF2B5EF4-FFF2-40B4-BE49-F238E27FC236}">
              <a16:creationId xmlns:a16="http://schemas.microsoft.com/office/drawing/2014/main" id="{7BE6DAA9-EC0F-4FA5-873D-3A09BA4FFA74}"/>
            </a:ext>
          </a:extLst>
        </xdr:cNvPr>
        <xdr:cNvSpPr txBox="1"/>
      </xdr:nvSpPr>
      <xdr:spPr>
        <a:xfrm flipH="1">
          <a:off x="9682572" y="5122610"/>
          <a:ext cx="823501" cy="3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a:solidFill>
                <a:schemeClr val="bg1">
                  <a:lumMod val="65000"/>
                </a:schemeClr>
              </a:solidFill>
              <a:latin typeface="Lucida Console" panose="020B0609040504020204" pitchFamily="49" charset="0"/>
            </a:rPr>
            <a:t>Sales</a:t>
          </a:r>
          <a:r>
            <a:rPr lang="en-US" sz="1050" b="0" baseline="0">
              <a:solidFill>
                <a:schemeClr val="bg1">
                  <a:lumMod val="65000"/>
                </a:schemeClr>
              </a:solidFill>
              <a:latin typeface="Lucida Console" panose="020B0609040504020204" pitchFamily="49" charset="0"/>
            </a:rPr>
            <a:t> </a:t>
          </a:r>
          <a:br>
            <a:rPr lang="en-US" sz="1050" b="0" baseline="0">
              <a:solidFill>
                <a:schemeClr val="bg1">
                  <a:lumMod val="65000"/>
                </a:schemeClr>
              </a:solidFill>
              <a:latin typeface="Lucida Console" panose="020B0609040504020204" pitchFamily="49" charset="0"/>
            </a:rPr>
          </a:br>
          <a:r>
            <a:rPr lang="en-US" sz="1050" b="0">
              <a:solidFill>
                <a:schemeClr val="bg1">
                  <a:lumMod val="65000"/>
                </a:schemeClr>
              </a:solidFill>
              <a:latin typeface="Lucida Console" panose="020B0609040504020204" pitchFamily="49" charset="0"/>
            </a:rPr>
            <a:t>Value</a:t>
          </a:r>
        </a:p>
      </xdr:txBody>
    </xdr:sp>
    <xdr:clientData/>
  </xdr:twoCellAnchor>
  <xdr:twoCellAnchor editAs="oneCell">
    <xdr:from>
      <xdr:col>16</xdr:col>
      <xdr:colOff>154783</xdr:colOff>
      <xdr:row>20</xdr:row>
      <xdr:rowOff>130970</xdr:rowOff>
    </xdr:from>
    <xdr:to>
      <xdr:col>16</xdr:col>
      <xdr:colOff>452439</xdr:colOff>
      <xdr:row>22</xdr:row>
      <xdr:rowOff>95251</xdr:rowOff>
    </xdr:to>
    <xdr:pic>
      <xdr:nvPicPr>
        <xdr:cNvPr id="60" name="Graphic 59" descr="Customer review">
          <a:extLst>
            <a:ext uri="{FF2B5EF4-FFF2-40B4-BE49-F238E27FC236}">
              <a16:creationId xmlns:a16="http://schemas.microsoft.com/office/drawing/2014/main" id="{1FEF1146-8B4E-4C02-A97F-9D11FC900D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08383" y="3369470"/>
          <a:ext cx="297656" cy="288131"/>
        </a:xfrm>
        <a:prstGeom prst="rect">
          <a:avLst/>
        </a:prstGeom>
      </xdr:spPr>
    </xdr:pic>
    <xdr:clientData/>
  </xdr:twoCellAnchor>
  <xdr:twoCellAnchor editAs="oneCell">
    <xdr:from>
      <xdr:col>16</xdr:col>
      <xdr:colOff>166688</xdr:colOff>
      <xdr:row>24</xdr:row>
      <xdr:rowOff>119063</xdr:rowOff>
    </xdr:from>
    <xdr:to>
      <xdr:col>16</xdr:col>
      <xdr:colOff>441008</xdr:colOff>
      <xdr:row>26</xdr:row>
      <xdr:rowOff>60008</xdr:rowOff>
    </xdr:to>
    <xdr:pic>
      <xdr:nvPicPr>
        <xdr:cNvPr id="61" name="Graphic 60" descr="Money">
          <a:extLst>
            <a:ext uri="{FF2B5EF4-FFF2-40B4-BE49-F238E27FC236}">
              <a16:creationId xmlns:a16="http://schemas.microsoft.com/office/drawing/2014/main" id="{71FFFF23-7512-4192-BADB-80FB356715B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20288" y="4005263"/>
          <a:ext cx="274320" cy="264795"/>
        </a:xfrm>
        <a:prstGeom prst="rect">
          <a:avLst/>
        </a:prstGeom>
      </xdr:spPr>
    </xdr:pic>
    <xdr:clientData/>
  </xdr:twoCellAnchor>
  <xdr:twoCellAnchor editAs="oneCell">
    <xdr:from>
      <xdr:col>16</xdr:col>
      <xdr:colOff>166688</xdr:colOff>
      <xdr:row>29</xdr:row>
      <xdr:rowOff>0</xdr:rowOff>
    </xdr:from>
    <xdr:to>
      <xdr:col>16</xdr:col>
      <xdr:colOff>441008</xdr:colOff>
      <xdr:row>30</xdr:row>
      <xdr:rowOff>107633</xdr:rowOff>
    </xdr:to>
    <xdr:pic>
      <xdr:nvPicPr>
        <xdr:cNvPr id="62" name="Graphic 61" descr="Checklist">
          <a:extLst>
            <a:ext uri="{FF2B5EF4-FFF2-40B4-BE49-F238E27FC236}">
              <a16:creationId xmlns:a16="http://schemas.microsoft.com/office/drawing/2014/main" id="{07DBAD42-0576-47BD-A74E-11E895AE32A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20288" y="4695825"/>
          <a:ext cx="274320" cy="269558"/>
        </a:xfrm>
        <a:prstGeom prst="rect">
          <a:avLst/>
        </a:prstGeom>
      </xdr:spPr>
    </xdr:pic>
    <xdr:clientData/>
  </xdr:twoCellAnchor>
  <xdr:twoCellAnchor editAs="oneCell">
    <xdr:from>
      <xdr:col>16</xdr:col>
      <xdr:colOff>154782</xdr:colOff>
      <xdr:row>33</xdr:row>
      <xdr:rowOff>71437</xdr:rowOff>
    </xdr:from>
    <xdr:to>
      <xdr:col>16</xdr:col>
      <xdr:colOff>429102</xdr:colOff>
      <xdr:row>35</xdr:row>
      <xdr:rowOff>12382</xdr:rowOff>
    </xdr:to>
    <xdr:pic>
      <xdr:nvPicPr>
        <xdr:cNvPr id="63" name="Graphic 62" descr="Suitcase">
          <a:extLst>
            <a:ext uri="{FF2B5EF4-FFF2-40B4-BE49-F238E27FC236}">
              <a16:creationId xmlns:a16="http://schemas.microsoft.com/office/drawing/2014/main" id="{B3812B33-072F-4FE6-AF35-212D1F11218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908382" y="5414962"/>
          <a:ext cx="274320" cy="264795"/>
        </a:xfrm>
        <a:prstGeom prst="rect">
          <a:avLst/>
        </a:prstGeom>
      </xdr:spPr>
    </xdr:pic>
    <xdr:clientData/>
  </xdr:twoCellAnchor>
  <xdr:twoCellAnchor>
    <xdr:from>
      <xdr:col>13</xdr:col>
      <xdr:colOff>476248</xdr:colOff>
      <xdr:row>9</xdr:row>
      <xdr:rowOff>13607</xdr:rowOff>
    </xdr:from>
    <xdr:to>
      <xdr:col>19</xdr:col>
      <xdr:colOff>258535</xdr:colOff>
      <xdr:row>18</xdr:row>
      <xdr:rowOff>54427</xdr:rowOff>
    </xdr:to>
    <xdr:graphicFrame macro="">
      <xdr:nvGraphicFramePr>
        <xdr:cNvPr id="64" name="Chart 63">
          <a:extLst>
            <a:ext uri="{FF2B5EF4-FFF2-40B4-BE49-F238E27FC236}">
              <a16:creationId xmlns:a16="http://schemas.microsoft.com/office/drawing/2014/main" id="{4E72219B-B802-4717-B97E-2038B267D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122464</xdr:colOff>
      <xdr:row>9</xdr:row>
      <xdr:rowOff>95251</xdr:rowOff>
    </xdr:from>
    <xdr:to>
      <xdr:col>13</xdr:col>
      <xdr:colOff>272141</xdr:colOff>
      <xdr:row>17</xdr:row>
      <xdr:rowOff>117020</xdr:rowOff>
    </xdr:to>
    <xdr:graphicFrame macro="">
      <xdr:nvGraphicFramePr>
        <xdr:cNvPr id="65" name="Chart 64">
          <a:extLst>
            <a:ext uri="{FF2B5EF4-FFF2-40B4-BE49-F238E27FC236}">
              <a16:creationId xmlns:a16="http://schemas.microsoft.com/office/drawing/2014/main" id="{B361C911-D026-4E34-9DCD-213E7C6C1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95249</xdr:colOff>
      <xdr:row>19</xdr:row>
      <xdr:rowOff>107155</xdr:rowOff>
    </xdr:from>
    <xdr:to>
      <xdr:col>12</xdr:col>
      <xdr:colOff>59532</xdr:colOff>
      <xdr:row>27</xdr:row>
      <xdr:rowOff>142874</xdr:rowOff>
    </xdr:to>
    <xdr:graphicFrame macro="">
      <xdr:nvGraphicFramePr>
        <xdr:cNvPr id="66" name="Chart 65">
          <a:extLst>
            <a:ext uri="{FF2B5EF4-FFF2-40B4-BE49-F238E27FC236}">
              <a16:creationId xmlns:a16="http://schemas.microsoft.com/office/drawing/2014/main" id="{EC19782B-5C9E-474F-8D74-294D4DBAA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404812</xdr:colOff>
      <xdr:row>20</xdr:row>
      <xdr:rowOff>35719</xdr:rowOff>
    </xdr:from>
    <xdr:to>
      <xdr:col>15</xdr:col>
      <xdr:colOff>369094</xdr:colOff>
      <xdr:row>27</xdr:row>
      <xdr:rowOff>59532</xdr:rowOff>
    </xdr:to>
    <xdr:graphicFrame macro="">
      <xdr:nvGraphicFramePr>
        <xdr:cNvPr id="67" name="Chart 66">
          <a:extLst>
            <a:ext uri="{FF2B5EF4-FFF2-40B4-BE49-F238E27FC236}">
              <a16:creationId xmlns:a16="http://schemas.microsoft.com/office/drawing/2014/main" id="{826D853D-8C07-4E56-A4FB-5A571B24D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11905</xdr:colOff>
      <xdr:row>28</xdr:row>
      <xdr:rowOff>47624</xdr:rowOff>
    </xdr:from>
    <xdr:to>
      <xdr:col>11</xdr:col>
      <xdr:colOff>547687</xdr:colOff>
      <xdr:row>35</xdr:row>
      <xdr:rowOff>166686</xdr:rowOff>
    </xdr:to>
    <xdr:graphicFrame macro="">
      <xdr:nvGraphicFramePr>
        <xdr:cNvPr id="68" name="Chart 67">
          <a:extLst>
            <a:ext uri="{FF2B5EF4-FFF2-40B4-BE49-F238E27FC236}">
              <a16:creationId xmlns:a16="http://schemas.microsoft.com/office/drawing/2014/main" id="{6E816B9C-30C6-4066-973F-FE0427118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498103</xdr:colOff>
      <xdr:row>32</xdr:row>
      <xdr:rowOff>62453</xdr:rowOff>
    </xdr:from>
    <xdr:to>
      <xdr:col>10</xdr:col>
      <xdr:colOff>398498</xdr:colOff>
      <xdr:row>33</xdr:row>
      <xdr:rowOff>104074</xdr:rowOff>
    </xdr:to>
    <xdr:sp macro="" textlink="top_product">
      <xdr:nvSpPr>
        <xdr:cNvPr id="69" name="TextBox 68">
          <a:extLst>
            <a:ext uri="{FF2B5EF4-FFF2-40B4-BE49-F238E27FC236}">
              <a16:creationId xmlns:a16="http://schemas.microsoft.com/office/drawing/2014/main" id="{A9A60CFB-F347-40C8-9816-369F8B6CE14F}"/>
            </a:ext>
          </a:extLst>
        </xdr:cNvPr>
        <xdr:cNvSpPr txBox="1"/>
      </xdr:nvSpPr>
      <xdr:spPr>
        <a:xfrm flipH="1">
          <a:off x="4748634" y="5396453"/>
          <a:ext cx="1722052" cy="208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33ACC4-2C95-48E2-B46E-34C34A501F91}" type="TxLink">
            <a:rPr lang="en-US" sz="1000" b="0" i="0" u="none" strike="noStrike">
              <a:solidFill>
                <a:schemeClr val="bg1">
                  <a:lumMod val="50000"/>
                </a:schemeClr>
              </a:solidFill>
              <a:latin typeface="Lucida Console" panose="020B0609040504020204" pitchFamily="49" charset="0"/>
              <a:cs typeface="Arial"/>
            </a:rPr>
            <a:pPr algn="ctr"/>
            <a:t>Phone</a:t>
          </a:fld>
          <a:endParaRPr lang="en-US" sz="900">
            <a:solidFill>
              <a:schemeClr val="bg1">
                <a:lumMod val="50000"/>
              </a:schemeClr>
            </a:solidFill>
            <a:latin typeface="Lucida Console" panose="020B0609040504020204" pitchFamily="49" charset="0"/>
          </a:endParaRPr>
        </a:p>
      </xdr:txBody>
    </xdr:sp>
    <xdr:clientData/>
  </xdr:twoCellAnchor>
  <xdr:twoCellAnchor>
    <xdr:from>
      <xdr:col>8</xdr:col>
      <xdr:colOff>281406</xdr:colOff>
      <xdr:row>31</xdr:row>
      <xdr:rowOff>36260</xdr:rowOff>
    </xdr:from>
    <xdr:to>
      <xdr:col>10</xdr:col>
      <xdr:colOff>23811</xdr:colOff>
      <xdr:row>32</xdr:row>
      <xdr:rowOff>83345</xdr:rowOff>
    </xdr:to>
    <xdr:sp macro="" textlink="top_percentage_product">
      <xdr:nvSpPr>
        <xdr:cNvPr id="70" name="TextBox 69">
          <a:extLst>
            <a:ext uri="{FF2B5EF4-FFF2-40B4-BE49-F238E27FC236}">
              <a16:creationId xmlns:a16="http://schemas.microsoft.com/office/drawing/2014/main" id="{299A3CE3-DC1F-40F0-827B-6A7633D4CF4E}"/>
            </a:ext>
          </a:extLst>
        </xdr:cNvPr>
        <xdr:cNvSpPr txBox="1"/>
      </xdr:nvSpPr>
      <xdr:spPr>
        <a:xfrm flipH="1">
          <a:off x="5139156" y="5203573"/>
          <a:ext cx="956843" cy="21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4CFC4-969B-4159-9A21-B432568E0440}" type="TxLink">
            <a:rPr lang="en-US" sz="1400" b="1" i="0" u="none" strike="noStrike">
              <a:solidFill>
                <a:schemeClr val="tx1">
                  <a:lumMod val="65000"/>
                  <a:lumOff val="35000"/>
                </a:schemeClr>
              </a:solidFill>
              <a:latin typeface="Lucida Console" panose="020B0609040504020204" pitchFamily="49" charset="0"/>
              <a:cs typeface="Arial"/>
            </a:rPr>
            <a:pPr algn="ctr"/>
            <a:t>23.50%</a:t>
          </a:fld>
          <a:endParaRPr lang="en-US" sz="1200" b="1">
            <a:solidFill>
              <a:schemeClr val="tx1">
                <a:lumMod val="65000"/>
                <a:lumOff val="35000"/>
              </a:schemeClr>
            </a:solidFill>
            <a:latin typeface="Lucida Console" panose="020B0609040504020204" pitchFamily="49" charset="0"/>
          </a:endParaRPr>
        </a:p>
      </xdr:txBody>
    </xdr:sp>
    <xdr:clientData/>
  </xdr:twoCellAnchor>
  <xdr:twoCellAnchor>
    <xdr:from>
      <xdr:col>11</xdr:col>
      <xdr:colOff>607218</xdr:colOff>
      <xdr:row>27</xdr:row>
      <xdr:rowOff>166686</xdr:rowOff>
    </xdr:from>
    <xdr:to>
      <xdr:col>15</xdr:col>
      <xdr:colOff>226218</xdr:colOff>
      <xdr:row>35</xdr:row>
      <xdr:rowOff>88106</xdr:rowOff>
    </xdr:to>
    <xdr:graphicFrame macro="">
      <xdr:nvGraphicFramePr>
        <xdr:cNvPr id="72" name="Chart 71">
          <a:extLst>
            <a:ext uri="{FF2B5EF4-FFF2-40B4-BE49-F238E27FC236}">
              <a16:creationId xmlns:a16="http://schemas.microsoft.com/office/drawing/2014/main" id="{225A10D2-8585-40C7-936A-FB6D21B94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195679</xdr:colOff>
      <xdr:row>31</xdr:row>
      <xdr:rowOff>45785</xdr:rowOff>
    </xdr:from>
    <xdr:to>
      <xdr:col>13</xdr:col>
      <xdr:colOff>545303</xdr:colOff>
      <xdr:row>32</xdr:row>
      <xdr:rowOff>92870</xdr:rowOff>
    </xdr:to>
    <xdr:sp macro="" textlink="top_percentage_rep">
      <xdr:nvSpPr>
        <xdr:cNvPr id="73" name="TextBox 72">
          <a:extLst>
            <a:ext uri="{FF2B5EF4-FFF2-40B4-BE49-F238E27FC236}">
              <a16:creationId xmlns:a16="http://schemas.microsoft.com/office/drawing/2014/main" id="{E3E02725-5619-471F-99D9-C10D4C1232E3}"/>
            </a:ext>
          </a:extLst>
        </xdr:cNvPr>
        <xdr:cNvSpPr txBox="1"/>
      </xdr:nvSpPr>
      <xdr:spPr>
        <a:xfrm flipH="1">
          <a:off x="7482304" y="5213098"/>
          <a:ext cx="956843" cy="213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C695B7-6D14-4E91-89E0-77D819356C7E}" type="TxLink">
            <a:rPr lang="en-US" sz="1400" b="1" i="0" u="none" strike="noStrike">
              <a:solidFill>
                <a:schemeClr val="tx1">
                  <a:lumMod val="65000"/>
                  <a:lumOff val="35000"/>
                </a:schemeClr>
              </a:solidFill>
              <a:latin typeface="Lucida Console" panose="020B0609040504020204" pitchFamily="49" charset="0"/>
              <a:ea typeface="+mn-ea"/>
              <a:cs typeface="Arial"/>
            </a:rPr>
            <a:pPr marL="0" indent="0" algn="ctr"/>
            <a:t>27.13%</a:t>
          </a:fld>
          <a:endParaRPr lang="en-US" sz="1400" b="1" i="0" u="none" strike="noStrike">
            <a:solidFill>
              <a:schemeClr val="tx1">
                <a:lumMod val="65000"/>
                <a:lumOff val="35000"/>
              </a:schemeClr>
            </a:solidFill>
            <a:latin typeface="Lucida Console" panose="020B0609040504020204" pitchFamily="49" charset="0"/>
            <a:ea typeface="+mn-ea"/>
            <a:cs typeface="Arial"/>
          </a:endParaRPr>
        </a:p>
      </xdr:txBody>
    </xdr:sp>
    <xdr:clientData/>
  </xdr:twoCellAnchor>
  <xdr:twoCellAnchor>
    <xdr:from>
      <xdr:col>11</xdr:col>
      <xdr:colOff>436191</xdr:colOff>
      <xdr:row>32</xdr:row>
      <xdr:rowOff>71977</xdr:rowOff>
    </xdr:from>
    <xdr:to>
      <xdr:col>14</xdr:col>
      <xdr:colOff>336586</xdr:colOff>
      <xdr:row>33</xdr:row>
      <xdr:rowOff>113598</xdr:rowOff>
    </xdr:to>
    <xdr:sp macro="" textlink="top_rep">
      <xdr:nvSpPr>
        <xdr:cNvPr id="74" name="TextBox 73">
          <a:extLst>
            <a:ext uri="{FF2B5EF4-FFF2-40B4-BE49-F238E27FC236}">
              <a16:creationId xmlns:a16="http://schemas.microsoft.com/office/drawing/2014/main" id="{C98B0346-1ED3-4653-AED9-07727CF34AD2}"/>
            </a:ext>
          </a:extLst>
        </xdr:cNvPr>
        <xdr:cNvSpPr txBox="1"/>
      </xdr:nvSpPr>
      <xdr:spPr>
        <a:xfrm flipH="1">
          <a:off x="7115597" y="5405977"/>
          <a:ext cx="1722052" cy="208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075834-7BA1-40C4-B547-6F986889E11B}" type="TxLink">
            <a:rPr lang="en-US" sz="1000" b="0" i="0" u="none" strike="noStrike">
              <a:solidFill>
                <a:schemeClr val="bg1">
                  <a:lumMod val="50000"/>
                </a:schemeClr>
              </a:solidFill>
              <a:latin typeface="Lucida Console" panose="020B0609040504020204" pitchFamily="49" charset="0"/>
              <a:ea typeface="+mn-ea"/>
              <a:cs typeface="Arial"/>
            </a:rPr>
            <a:pPr marL="0" indent="0" algn="ctr"/>
            <a:t>Rep-B</a:t>
          </a:fld>
          <a:endParaRPr lang="en-US" sz="1000" b="0" i="0" u="none" strike="noStrike">
            <a:solidFill>
              <a:schemeClr val="bg1">
                <a:lumMod val="50000"/>
              </a:schemeClr>
            </a:solidFill>
            <a:latin typeface="Lucida Console" panose="020B0609040504020204" pitchFamily="49" charset="0"/>
            <a:ea typeface="+mn-ea"/>
            <a:cs typeface="Arial"/>
          </a:endParaRPr>
        </a:p>
      </xdr:txBody>
    </xdr:sp>
    <xdr:clientData/>
  </xdr:twoCellAnchor>
  <xdr:twoCellAnchor editAs="oneCell">
    <xdr:from>
      <xdr:col>6</xdr:col>
      <xdr:colOff>216333</xdr:colOff>
      <xdr:row>30</xdr:row>
      <xdr:rowOff>91724</xdr:rowOff>
    </xdr:from>
    <xdr:to>
      <xdr:col>6</xdr:col>
      <xdr:colOff>483782</xdr:colOff>
      <xdr:row>32</xdr:row>
      <xdr:rowOff>23808</xdr:rowOff>
    </xdr:to>
    <xdr:pic>
      <xdr:nvPicPr>
        <xdr:cNvPr id="30" name="Graphic 29" descr="Clipboard">
          <a:extLst>
            <a:ext uri="{FF2B5EF4-FFF2-40B4-BE49-F238E27FC236}">
              <a16:creationId xmlns:a16="http://schemas.microsoft.com/office/drawing/2014/main" id="{3052F707-91BB-408E-972F-A3B51FF7982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859646" y="5092349"/>
          <a:ext cx="267449" cy="2654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376237</xdr:colOff>
      <xdr:row>1</xdr:row>
      <xdr:rowOff>95248</xdr:rowOff>
    </xdr:from>
    <xdr:to>
      <xdr:col>19</xdr:col>
      <xdr:colOff>535781</xdr:colOff>
      <xdr:row>35</xdr:row>
      <xdr:rowOff>166686</xdr:rowOff>
    </xdr:to>
    <xdr:sp macro="" textlink="">
      <xdr:nvSpPr>
        <xdr:cNvPr id="2" name="Rectangle 1">
          <a:extLst>
            <a:ext uri="{FF2B5EF4-FFF2-40B4-BE49-F238E27FC236}">
              <a16:creationId xmlns:a16="http://schemas.microsoft.com/office/drawing/2014/main" id="{C1E1F372-8E2D-4776-99AC-88EBC9291A94}"/>
            </a:ext>
          </a:extLst>
        </xdr:cNvPr>
        <xdr:cNvSpPr/>
      </xdr:nvSpPr>
      <xdr:spPr>
        <a:xfrm>
          <a:off x="4643437" y="257173"/>
          <a:ext cx="7474744" cy="5576888"/>
        </a:xfrm>
        <a:prstGeom prst="rect">
          <a:avLst/>
        </a:prstGeom>
        <a:solidFill>
          <a:srgbClr val="EAE9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309562</xdr:colOff>
      <xdr:row>1</xdr:row>
      <xdr:rowOff>92867</xdr:rowOff>
    </xdr:from>
    <xdr:to>
      <xdr:col>7</xdr:col>
      <xdr:colOff>369095</xdr:colOff>
      <xdr:row>35</xdr:row>
      <xdr:rowOff>164305</xdr:rowOff>
    </xdr:to>
    <xdr:sp macro="" textlink="">
      <xdr:nvSpPr>
        <xdr:cNvPr id="3" name="Rectangle 2">
          <a:extLst>
            <a:ext uri="{FF2B5EF4-FFF2-40B4-BE49-F238E27FC236}">
              <a16:creationId xmlns:a16="http://schemas.microsoft.com/office/drawing/2014/main" id="{C99B6182-71A1-419C-8020-2DD64C05645A}"/>
            </a:ext>
          </a:extLst>
        </xdr:cNvPr>
        <xdr:cNvSpPr/>
      </xdr:nvSpPr>
      <xdr:spPr>
        <a:xfrm>
          <a:off x="3357562" y="254792"/>
          <a:ext cx="1278733" cy="557688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373856</xdr:colOff>
      <xdr:row>1</xdr:row>
      <xdr:rowOff>92867</xdr:rowOff>
    </xdr:from>
    <xdr:to>
      <xdr:col>19</xdr:col>
      <xdr:colOff>533400</xdr:colOff>
      <xdr:row>7</xdr:row>
      <xdr:rowOff>47625</xdr:rowOff>
    </xdr:to>
    <xdr:sp macro="" textlink="">
      <xdr:nvSpPr>
        <xdr:cNvPr id="4" name="Rectangle 3">
          <a:extLst>
            <a:ext uri="{FF2B5EF4-FFF2-40B4-BE49-F238E27FC236}">
              <a16:creationId xmlns:a16="http://schemas.microsoft.com/office/drawing/2014/main" id="{0CF1201B-DB64-43C7-81FC-6934F93CBCBD}"/>
            </a:ext>
          </a:extLst>
        </xdr:cNvPr>
        <xdr:cNvSpPr/>
      </xdr:nvSpPr>
      <xdr:spPr>
        <a:xfrm>
          <a:off x="4641056" y="254792"/>
          <a:ext cx="7474744" cy="926308"/>
        </a:xfrm>
        <a:prstGeom prst="rect">
          <a:avLst/>
        </a:prstGeom>
        <a:solidFill>
          <a:srgbClr val="7538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428625</xdr:colOff>
      <xdr:row>19</xdr:row>
      <xdr:rowOff>9530</xdr:rowOff>
    </xdr:from>
    <xdr:to>
      <xdr:col>19</xdr:col>
      <xdr:colOff>178593</xdr:colOff>
      <xdr:row>22</xdr:row>
      <xdr:rowOff>142876</xdr:rowOff>
    </xdr:to>
    <xdr:grpSp>
      <xdr:nvGrpSpPr>
        <xdr:cNvPr id="5" name="Group 4">
          <a:extLst>
            <a:ext uri="{FF2B5EF4-FFF2-40B4-BE49-F238E27FC236}">
              <a16:creationId xmlns:a16="http://schemas.microsoft.com/office/drawing/2014/main" id="{0833042C-2D24-4611-BAFF-AB3BF424F8A8}"/>
            </a:ext>
          </a:extLst>
        </xdr:cNvPr>
        <xdr:cNvGrpSpPr/>
      </xdr:nvGrpSpPr>
      <xdr:grpSpPr>
        <a:xfrm>
          <a:off x="9536906" y="3176593"/>
          <a:ext cx="2178843" cy="633408"/>
          <a:chOff x="8001003" y="2069310"/>
          <a:chExt cx="2591834" cy="633407"/>
        </a:xfrm>
      </xdr:grpSpPr>
      <xdr:sp macro="" textlink="">
        <xdr:nvSpPr>
          <xdr:cNvPr id="6" name="Rectangle: Top Corners Rounded 5">
            <a:extLst>
              <a:ext uri="{FF2B5EF4-FFF2-40B4-BE49-F238E27FC236}">
                <a16:creationId xmlns:a16="http://schemas.microsoft.com/office/drawing/2014/main" id="{2006D0BD-0318-E1B1-4F9F-A62407A7CBFC}"/>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70EA5810-DA08-782A-4D85-07CD90149F5D}"/>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11906</xdr:colOff>
      <xdr:row>8</xdr:row>
      <xdr:rowOff>46433</xdr:rowOff>
    </xdr:from>
    <xdr:to>
      <xdr:col>13</xdr:col>
      <xdr:colOff>285750</xdr:colOff>
      <xdr:row>18</xdr:row>
      <xdr:rowOff>46434</xdr:rowOff>
    </xdr:to>
    <xdr:sp macro="" textlink="">
      <xdr:nvSpPr>
        <xdr:cNvPr id="8" name="Rectangle: Rounded Corners 7">
          <a:extLst>
            <a:ext uri="{FF2B5EF4-FFF2-40B4-BE49-F238E27FC236}">
              <a16:creationId xmlns:a16="http://schemas.microsoft.com/office/drawing/2014/main" id="{9863BD00-2B26-4D25-8377-B8F3C6676722}"/>
            </a:ext>
          </a:extLst>
        </xdr:cNvPr>
        <xdr:cNvSpPr/>
      </xdr:nvSpPr>
      <xdr:spPr>
        <a:xfrm>
          <a:off x="4888706" y="1341833"/>
          <a:ext cx="3321844"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521493</xdr:colOff>
      <xdr:row>8</xdr:row>
      <xdr:rowOff>46433</xdr:rowOff>
    </xdr:from>
    <xdr:to>
      <xdr:col>19</xdr:col>
      <xdr:colOff>188119</xdr:colOff>
      <xdr:row>18</xdr:row>
      <xdr:rowOff>46434</xdr:rowOff>
    </xdr:to>
    <xdr:sp macro="" textlink="">
      <xdr:nvSpPr>
        <xdr:cNvPr id="9" name="Rectangle: Rounded Corners 8">
          <a:extLst>
            <a:ext uri="{FF2B5EF4-FFF2-40B4-BE49-F238E27FC236}">
              <a16:creationId xmlns:a16="http://schemas.microsoft.com/office/drawing/2014/main" id="{2F70A559-40C0-421C-8173-6137FE99F509}"/>
            </a:ext>
          </a:extLst>
        </xdr:cNvPr>
        <xdr:cNvSpPr/>
      </xdr:nvSpPr>
      <xdr:spPr>
        <a:xfrm>
          <a:off x="8446293" y="1341833"/>
          <a:ext cx="3324226" cy="1619251"/>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560325</xdr:colOff>
      <xdr:row>18</xdr:row>
      <xdr:rowOff>166226</xdr:rowOff>
    </xdr:from>
    <xdr:to>
      <xdr:col>15</xdr:col>
      <xdr:colOff>265051</xdr:colOff>
      <xdr:row>27</xdr:row>
      <xdr:rowOff>11907</xdr:rowOff>
    </xdr:to>
    <xdr:sp macro="" textlink="">
      <xdr:nvSpPr>
        <xdr:cNvPr id="10" name="Rectangle: Rounded Corners 9">
          <a:extLst>
            <a:ext uri="{FF2B5EF4-FFF2-40B4-BE49-F238E27FC236}">
              <a16:creationId xmlns:a16="http://schemas.microsoft.com/office/drawing/2014/main" id="{25F73461-EFC9-45B8-B3E9-05B556750965}"/>
            </a:ext>
          </a:extLst>
        </xdr:cNvPr>
        <xdr:cNvSpPr/>
      </xdr:nvSpPr>
      <xdr:spPr>
        <a:xfrm>
          <a:off x="7265925" y="3080876"/>
          <a:ext cx="2143126"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23</xdr:row>
      <xdr:rowOff>30961</xdr:rowOff>
    </xdr:from>
    <xdr:to>
      <xdr:col>19</xdr:col>
      <xdr:colOff>188118</xdr:colOff>
      <xdr:row>27</xdr:row>
      <xdr:rowOff>3115</xdr:rowOff>
    </xdr:to>
    <xdr:grpSp>
      <xdr:nvGrpSpPr>
        <xdr:cNvPr id="11" name="Group 10">
          <a:extLst>
            <a:ext uri="{FF2B5EF4-FFF2-40B4-BE49-F238E27FC236}">
              <a16:creationId xmlns:a16="http://schemas.microsoft.com/office/drawing/2014/main" id="{56842D2B-2531-4176-ADC8-02186D06D34F}"/>
            </a:ext>
          </a:extLst>
        </xdr:cNvPr>
        <xdr:cNvGrpSpPr/>
      </xdr:nvGrpSpPr>
      <xdr:grpSpPr>
        <a:xfrm>
          <a:off x="9546431" y="3864774"/>
          <a:ext cx="2178843" cy="638904"/>
          <a:chOff x="8001003" y="2069310"/>
          <a:chExt cx="2591834" cy="633407"/>
        </a:xfrm>
      </xdr:grpSpPr>
      <xdr:sp macro="" textlink="">
        <xdr:nvSpPr>
          <xdr:cNvPr id="12" name="Rectangle: Top Corners Rounded 11">
            <a:extLst>
              <a:ext uri="{FF2B5EF4-FFF2-40B4-BE49-F238E27FC236}">
                <a16:creationId xmlns:a16="http://schemas.microsoft.com/office/drawing/2014/main" id="{A5E861A4-7233-C63C-B9FD-12DBAF8B5623}"/>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90B3727C-BD3D-FA94-8773-535AAF15476C}"/>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435768</xdr:colOff>
      <xdr:row>27</xdr:row>
      <xdr:rowOff>52393</xdr:rowOff>
    </xdr:from>
    <xdr:to>
      <xdr:col>19</xdr:col>
      <xdr:colOff>185736</xdr:colOff>
      <xdr:row>31</xdr:row>
      <xdr:rowOff>19051</xdr:rowOff>
    </xdr:to>
    <xdr:grpSp>
      <xdr:nvGrpSpPr>
        <xdr:cNvPr id="14" name="Group 13">
          <a:extLst>
            <a:ext uri="{FF2B5EF4-FFF2-40B4-BE49-F238E27FC236}">
              <a16:creationId xmlns:a16="http://schemas.microsoft.com/office/drawing/2014/main" id="{AE87F0EB-50C0-492B-A294-FF3BC75FF35E}"/>
            </a:ext>
          </a:extLst>
        </xdr:cNvPr>
        <xdr:cNvGrpSpPr/>
      </xdr:nvGrpSpPr>
      <xdr:grpSpPr>
        <a:xfrm>
          <a:off x="9544049" y="4552956"/>
          <a:ext cx="2178843" cy="633408"/>
          <a:chOff x="8001003" y="2069310"/>
          <a:chExt cx="2591834" cy="633407"/>
        </a:xfrm>
      </xdr:grpSpPr>
      <xdr:sp macro="" textlink="">
        <xdr:nvSpPr>
          <xdr:cNvPr id="15" name="Rectangle: Top Corners Rounded 14">
            <a:extLst>
              <a:ext uri="{FF2B5EF4-FFF2-40B4-BE49-F238E27FC236}">
                <a16:creationId xmlns:a16="http://schemas.microsoft.com/office/drawing/2014/main" id="{E298D705-BA0C-1FD9-0A6A-3CF216DF4A2E}"/>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C228DE11-4D0E-7766-D0CA-BE538CAAA7C9}"/>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445293</xdr:colOff>
      <xdr:row>31</xdr:row>
      <xdr:rowOff>73824</xdr:rowOff>
    </xdr:from>
    <xdr:to>
      <xdr:col>19</xdr:col>
      <xdr:colOff>195261</xdr:colOff>
      <xdr:row>35</xdr:row>
      <xdr:rowOff>40482</xdr:rowOff>
    </xdr:to>
    <xdr:grpSp>
      <xdr:nvGrpSpPr>
        <xdr:cNvPr id="17" name="Group 16">
          <a:extLst>
            <a:ext uri="{FF2B5EF4-FFF2-40B4-BE49-F238E27FC236}">
              <a16:creationId xmlns:a16="http://schemas.microsoft.com/office/drawing/2014/main" id="{D48D9D5A-E100-49D0-BE0B-D1879E33D175}"/>
            </a:ext>
          </a:extLst>
        </xdr:cNvPr>
        <xdr:cNvGrpSpPr/>
      </xdr:nvGrpSpPr>
      <xdr:grpSpPr>
        <a:xfrm>
          <a:off x="9553574" y="5241137"/>
          <a:ext cx="2178843" cy="633408"/>
          <a:chOff x="8001003" y="2069310"/>
          <a:chExt cx="2591834" cy="633407"/>
        </a:xfrm>
      </xdr:grpSpPr>
      <xdr:sp macro="" textlink="">
        <xdr:nvSpPr>
          <xdr:cNvPr id="18" name="Rectangle: Top Corners Rounded 17">
            <a:extLst>
              <a:ext uri="{FF2B5EF4-FFF2-40B4-BE49-F238E27FC236}">
                <a16:creationId xmlns:a16="http://schemas.microsoft.com/office/drawing/2014/main" id="{86281591-DBC2-32DA-4417-6A33F4E130E8}"/>
              </a:ext>
            </a:extLst>
          </xdr:cNvPr>
          <xdr:cNvSpPr/>
        </xdr:nvSpPr>
        <xdr:spPr>
          <a:xfrm rot="16200000">
            <a:off x="8286751" y="1785938"/>
            <a:ext cx="631031" cy="1202528"/>
          </a:xfrm>
          <a:prstGeom prst="round2SameRect">
            <a:avLst>
              <a:gd name="adj1" fmla="val 25641"/>
              <a:gd name="adj2" fmla="val 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Top Corners Rounded 18">
            <a:extLst>
              <a:ext uri="{FF2B5EF4-FFF2-40B4-BE49-F238E27FC236}">
                <a16:creationId xmlns:a16="http://schemas.microsoft.com/office/drawing/2014/main" id="{DF3A8B53-808C-CC06-36A7-8969189EEA34}"/>
              </a:ext>
            </a:extLst>
          </xdr:cNvPr>
          <xdr:cNvSpPr/>
        </xdr:nvSpPr>
        <xdr:spPr>
          <a:xfrm rot="5400000">
            <a:off x="9564808" y="1672313"/>
            <a:ext cx="631031" cy="1425026"/>
          </a:xfrm>
          <a:prstGeom prst="round2SameRect">
            <a:avLst>
              <a:gd name="adj1" fmla="val 25641"/>
              <a:gd name="adj2" fmla="val 0"/>
            </a:avLst>
          </a:prstGeom>
          <a:solidFill>
            <a:srgbClr val="B9BA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22162</xdr:colOff>
      <xdr:row>18</xdr:row>
      <xdr:rowOff>163845</xdr:rowOff>
    </xdr:from>
    <xdr:to>
      <xdr:col>11</xdr:col>
      <xdr:colOff>440531</xdr:colOff>
      <xdr:row>27</xdr:row>
      <xdr:rowOff>9526</xdr:rowOff>
    </xdr:to>
    <xdr:sp macro="" textlink="">
      <xdr:nvSpPr>
        <xdr:cNvPr id="20" name="Rectangle: Rounded Corners 19">
          <a:extLst>
            <a:ext uri="{FF2B5EF4-FFF2-40B4-BE49-F238E27FC236}">
              <a16:creationId xmlns:a16="http://schemas.microsoft.com/office/drawing/2014/main" id="{B3E295D9-5662-4561-A3F5-482617FFA332}"/>
            </a:ext>
          </a:extLst>
        </xdr:cNvPr>
        <xdr:cNvSpPr/>
      </xdr:nvSpPr>
      <xdr:spPr>
        <a:xfrm>
          <a:off x="4898962" y="3078495"/>
          <a:ext cx="2247169" cy="130300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7874</xdr:colOff>
      <xdr:row>27</xdr:row>
      <xdr:rowOff>54306</xdr:rowOff>
    </xdr:from>
    <xdr:to>
      <xdr:col>11</xdr:col>
      <xdr:colOff>440531</xdr:colOff>
      <xdr:row>35</xdr:row>
      <xdr:rowOff>47624</xdr:rowOff>
    </xdr:to>
    <xdr:sp macro="" textlink="">
      <xdr:nvSpPr>
        <xdr:cNvPr id="21" name="Rectangle: Rounded Corners 20">
          <a:extLst>
            <a:ext uri="{FF2B5EF4-FFF2-40B4-BE49-F238E27FC236}">
              <a16:creationId xmlns:a16="http://schemas.microsoft.com/office/drawing/2014/main" id="{1DBD9F3A-658D-4225-A911-56A9AE4A9EAC}"/>
            </a:ext>
          </a:extLst>
        </xdr:cNvPr>
        <xdr:cNvSpPr/>
      </xdr:nvSpPr>
      <xdr:spPr>
        <a:xfrm>
          <a:off x="4884674" y="4426281"/>
          <a:ext cx="2261457" cy="1288718"/>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565087</xdr:colOff>
      <xdr:row>27</xdr:row>
      <xdr:rowOff>63832</xdr:rowOff>
    </xdr:from>
    <xdr:to>
      <xdr:col>15</xdr:col>
      <xdr:colOff>269813</xdr:colOff>
      <xdr:row>35</xdr:row>
      <xdr:rowOff>35718</xdr:rowOff>
    </xdr:to>
    <xdr:sp macro="" textlink="">
      <xdr:nvSpPr>
        <xdr:cNvPr id="22" name="Rectangle: Rounded Corners 21">
          <a:extLst>
            <a:ext uri="{FF2B5EF4-FFF2-40B4-BE49-F238E27FC236}">
              <a16:creationId xmlns:a16="http://schemas.microsoft.com/office/drawing/2014/main" id="{E1B657CB-5E69-40D2-9141-A7CC9D37CA5A}"/>
            </a:ext>
          </a:extLst>
        </xdr:cNvPr>
        <xdr:cNvSpPr/>
      </xdr:nvSpPr>
      <xdr:spPr>
        <a:xfrm>
          <a:off x="7270687" y="4435807"/>
          <a:ext cx="2143126" cy="1267286"/>
        </a:xfrm>
        <a:prstGeom prst="roundRect">
          <a:avLst>
            <a:gd name="adj" fmla="val 8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109537</xdr:colOff>
      <xdr:row>3</xdr:row>
      <xdr:rowOff>59530</xdr:rowOff>
    </xdr:from>
    <xdr:to>
      <xdr:col>6</xdr:col>
      <xdr:colOff>550068</xdr:colOff>
      <xdr:row>5</xdr:row>
      <xdr:rowOff>66674</xdr:rowOff>
    </xdr:to>
    <xdr:grpSp>
      <xdr:nvGrpSpPr>
        <xdr:cNvPr id="24" name="Group 23">
          <a:extLst>
            <a:ext uri="{FF2B5EF4-FFF2-40B4-BE49-F238E27FC236}">
              <a16:creationId xmlns:a16="http://schemas.microsoft.com/office/drawing/2014/main" id="{08B0D51D-ADE6-4FE4-B6EB-57E245FB7DAC}"/>
            </a:ext>
          </a:extLst>
        </xdr:cNvPr>
        <xdr:cNvGrpSpPr/>
      </xdr:nvGrpSpPr>
      <xdr:grpSpPr>
        <a:xfrm>
          <a:off x="3752850" y="559593"/>
          <a:ext cx="440531" cy="340519"/>
          <a:chOff x="1300163" y="1166812"/>
          <a:chExt cx="440531" cy="340519"/>
        </a:xfrm>
      </xdr:grpSpPr>
      <xdr:sp macro="" textlink="">
        <xdr:nvSpPr>
          <xdr:cNvPr id="25" name="Rectangle 24">
            <a:extLst>
              <a:ext uri="{FF2B5EF4-FFF2-40B4-BE49-F238E27FC236}">
                <a16:creationId xmlns:a16="http://schemas.microsoft.com/office/drawing/2014/main" id="{4BC27DF4-0771-7C54-9232-8701B2FADD9A}"/>
              </a:ext>
            </a:extLst>
          </xdr:cNvPr>
          <xdr:cNvSpPr/>
        </xdr:nvSpPr>
        <xdr:spPr>
          <a:xfrm>
            <a:off x="1300163" y="1166812"/>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4A40A43D-C729-CFFA-11BA-184E0E3203F3}"/>
              </a:ext>
            </a:extLst>
          </xdr:cNvPr>
          <xdr:cNvSpPr/>
        </xdr:nvSpPr>
        <xdr:spPr>
          <a:xfrm>
            <a:off x="1300163" y="1295399"/>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531F9726-0ED3-DCFC-B082-B0D25A4FF9C4}"/>
              </a:ext>
            </a:extLst>
          </xdr:cNvPr>
          <xdr:cNvSpPr/>
        </xdr:nvSpPr>
        <xdr:spPr>
          <a:xfrm>
            <a:off x="1300163" y="1423987"/>
            <a:ext cx="440531" cy="83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6</xdr:col>
      <xdr:colOff>214311</xdr:colOff>
      <xdr:row>27</xdr:row>
      <xdr:rowOff>130964</xdr:rowOff>
    </xdr:from>
    <xdr:to>
      <xdr:col>6</xdr:col>
      <xdr:colOff>535781</xdr:colOff>
      <xdr:row>29</xdr:row>
      <xdr:rowOff>119058</xdr:rowOff>
    </xdr:to>
    <xdr:pic>
      <xdr:nvPicPr>
        <xdr:cNvPr id="29" name="Graphic 28" descr="Database">
          <a:hlinkClick xmlns:r="http://schemas.openxmlformats.org/officeDocument/2006/relationships" r:id="rId1"/>
          <a:extLst>
            <a:ext uri="{FF2B5EF4-FFF2-40B4-BE49-F238E27FC236}">
              <a16:creationId xmlns:a16="http://schemas.microsoft.com/office/drawing/2014/main" id="{F2D64E35-E0F5-423F-9E90-430A018DC37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57624" y="4631527"/>
          <a:ext cx="321470" cy="321469"/>
        </a:xfrm>
        <a:prstGeom prst="rect">
          <a:avLst/>
        </a:prstGeom>
      </xdr:spPr>
    </xdr:pic>
    <xdr:clientData/>
  </xdr:twoCellAnchor>
  <xdr:twoCellAnchor editAs="oneCell">
    <xdr:from>
      <xdr:col>6</xdr:col>
      <xdr:colOff>204109</xdr:colOff>
      <xdr:row>32</xdr:row>
      <xdr:rowOff>60617</xdr:rowOff>
    </xdr:from>
    <xdr:to>
      <xdr:col>6</xdr:col>
      <xdr:colOff>523875</xdr:colOff>
      <xdr:row>34</xdr:row>
      <xdr:rowOff>50655</xdr:rowOff>
    </xdr:to>
    <xdr:pic>
      <xdr:nvPicPr>
        <xdr:cNvPr id="30" name="Graphic 29" descr="Presentation with pie chart">
          <a:hlinkClick xmlns:r="http://schemas.openxmlformats.org/officeDocument/2006/relationships" r:id="rId4"/>
          <a:extLst>
            <a:ext uri="{FF2B5EF4-FFF2-40B4-BE49-F238E27FC236}">
              <a16:creationId xmlns:a16="http://schemas.microsoft.com/office/drawing/2014/main" id="{9D78035A-2572-4C9F-8924-481F0C5947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61709" y="5242217"/>
          <a:ext cx="319766" cy="313888"/>
        </a:xfrm>
        <a:prstGeom prst="rect">
          <a:avLst/>
        </a:prstGeom>
      </xdr:spPr>
    </xdr:pic>
    <xdr:clientData/>
  </xdr:twoCellAnchor>
  <xdr:twoCellAnchor>
    <xdr:from>
      <xdr:col>7</xdr:col>
      <xdr:colOff>476251</xdr:colOff>
      <xdr:row>2</xdr:row>
      <xdr:rowOff>102054</xdr:rowOff>
    </xdr:from>
    <xdr:to>
      <xdr:col>19</xdr:col>
      <xdr:colOff>81643</xdr:colOff>
      <xdr:row>4</xdr:row>
      <xdr:rowOff>107155</xdr:rowOff>
    </xdr:to>
    <xdr:grpSp>
      <xdr:nvGrpSpPr>
        <xdr:cNvPr id="31" name="Group 30">
          <a:extLst>
            <a:ext uri="{FF2B5EF4-FFF2-40B4-BE49-F238E27FC236}">
              <a16:creationId xmlns:a16="http://schemas.microsoft.com/office/drawing/2014/main" id="{5BAC2236-66AE-436A-B3E8-56C53611B6EE}"/>
            </a:ext>
          </a:extLst>
        </xdr:cNvPr>
        <xdr:cNvGrpSpPr/>
      </xdr:nvGrpSpPr>
      <xdr:grpSpPr>
        <a:xfrm>
          <a:off x="4726782" y="435429"/>
          <a:ext cx="6892017" cy="338476"/>
          <a:chOff x="4726782" y="649743"/>
          <a:chExt cx="6892017" cy="338476"/>
        </a:xfrm>
      </xdr:grpSpPr>
      <xdr:sp macro="" textlink="">
        <xdr:nvSpPr>
          <xdr:cNvPr id="32" name="TextBox 31">
            <a:extLst>
              <a:ext uri="{FF2B5EF4-FFF2-40B4-BE49-F238E27FC236}">
                <a16:creationId xmlns:a16="http://schemas.microsoft.com/office/drawing/2014/main" id="{B385B9CF-B6D3-D435-5DFB-47ADAF8D8701}"/>
              </a:ext>
            </a:extLst>
          </xdr:cNvPr>
          <xdr:cNvSpPr txBox="1"/>
        </xdr:nvSpPr>
        <xdr:spPr>
          <a:xfrm>
            <a:off x="4726782" y="678656"/>
            <a:ext cx="2500312"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Lucida Console" panose="020B0609040504020204" pitchFamily="49" charset="0"/>
              </a:rPr>
              <a:t>Amaefule Store®</a:t>
            </a:r>
          </a:p>
        </xdr:txBody>
      </xdr:sp>
      <xdr:sp macro="" textlink="">
        <xdr:nvSpPr>
          <xdr:cNvPr id="33" name="Rectangle: Rounded Corners 32">
            <a:extLst>
              <a:ext uri="{FF2B5EF4-FFF2-40B4-BE49-F238E27FC236}">
                <a16:creationId xmlns:a16="http://schemas.microsoft.com/office/drawing/2014/main" id="{7BAAB5D4-EF45-EC37-54E7-82608895CD5F}"/>
              </a:ext>
            </a:extLst>
          </xdr:cNvPr>
          <xdr:cNvSpPr/>
        </xdr:nvSpPr>
        <xdr:spPr>
          <a:xfrm>
            <a:off x="7655718" y="726281"/>
            <a:ext cx="2405063" cy="190500"/>
          </a:xfrm>
          <a:prstGeom prst="roundRect">
            <a:avLst>
              <a:gd name="adj" fmla="val 50000"/>
            </a:avLst>
          </a:prstGeom>
          <a:solidFill>
            <a:srgbClr val="FFF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BC78558A-38EA-CEE6-B4B8-285BEFC8C2A6}"/>
              </a:ext>
            </a:extLst>
          </xdr:cNvPr>
          <xdr:cNvGrpSpPr/>
        </xdr:nvGrpSpPr>
        <xdr:grpSpPr>
          <a:xfrm>
            <a:off x="11038792" y="649743"/>
            <a:ext cx="182880" cy="281123"/>
            <a:chOff x="13471071" y="680357"/>
            <a:chExt cx="435430" cy="544287"/>
          </a:xfrm>
        </xdr:grpSpPr>
        <xdr:pic>
          <xdr:nvPicPr>
            <xdr:cNvPr id="39" name="Graphic 38" descr="Ringer">
              <a:extLst>
                <a:ext uri="{FF2B5EF4-FFF2-40B4-BE49-F238E27FC236}">
                  <a16:creationId xmlns:a16="http://schemas.microsoft.com/office/drawing/2014/main" id="{20E87264-1A36-1234-D90F-74C3340319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71071" y="816429"/>
              <a:ext cx="408215" cy="408215"/>
            </a:xfrm>
            <a:prstGeom prst="rect">
              <a:avLst/>
            </a:prstGeom>
          </xdr:spPr>
        </xdr:pic>
        <xdr:grpSp>
          <xdr:nvGrpSpPr>
            <xdr:cNvPr id="40" name="Group 39">
              <a:extLst>
                <a:ext uri="{FF2B5EF4-FFF2-40B4-BE49-F238E27FC236}">
                  <a16:creationId xmlns:a16="http://schemas.microsoft.com/office/drawing/2014/main" id="{D4887FCD-92A6-B122-7815-CBC67B8F2509}"/>
                </a:ext>
              </a:extLst>
            </xdr:cNvPr>
            <xdr:cNvGrpSpPr/>
          </xdr:nvGrpSpPr>
          <xdr:grpSpPr>
            <a:xfrm>
              <a:off x="13647966" y="680357"/>
              <a:ext cx="258535" cy="299356"/>
              <a:chOff x="15444107" y="2408464"/>
              <a:chExt cx="762000" cy="762000"/>
            </a:xfrm>
          </xdr:grpSpPr>
          <xdr:sp macro="" textlink="">
            <xdr:nvSpPr>
              <xdr:cNvPr id="41" name="Oval 40">
                <a:extLst>
                  <a:ext uri="{FF2B5EF4-FFF2-40B4-BE49-F238E27FC236}">
                    <a16:creationId xmlns:a16="http://schemas.microsoft.com/office/drawing/2014/main" id="{2A60D8D9-6D94-9108-5A70-720C6CBDBA72}"/>
                  </a:ext>
                </a:extLst>
              </xdr:cNvPr>
              <xdr:cNvSpPr/>
            </xdr:nvSpPr>
            <xdr:spPr>
              <a:xfrm>
                <a:off x="15444107" y="2408464"/>
                <a:ext cx="762000" cy="762000"/>
              </a:xfrm>
              <a:prstGeom prst="ellipse">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400" b="1">
                  <a:latin typeface="Bodoni MT Black" panose="02070A03080606020203" pitchFamily="18" charset="0"/>
                </a:endParaRPr>
              </a:p>
            </xdr:txBody>
          </xdr:sp>
          <xdr:sp macro="" textlink="">
            <xdr:nvSpPr>
              <xdr:cNvPr id="42" name="TextBox 41">
                <a:extLst>
                  <a:ext uri="{FF2B5EF4-FFF2-40B4-BE49-F238E27FC236}">
                    <a16:creationId xmlns:a16="http://schemas.microsoft.com/office/drawing/2014/main" id="{59CC1948-140F-C96A-3090-687D2F07E6BF}"/>
                  </a:ext>
                </a:extLst>
              </xdr:cNvPr>
              <xdr:cNvSpPr txBox="1"/>
            </xdr:nvSpPr>
            <xdr:spPr>
              <a:xfrm>
                <a:off x="15689036" y="2612570"/>
                <a:ext cx="285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Bodoni MT Black" panose="02070A03080606020203" pitchFamily="18" charset="0"/>
                  </a:rPr>
                  <a:t>3</a:t>
                </a:r>
              </a:p>
            </xdr:txBody>
          </xdr:sp>
        </xdr:grpSp>
      </xdr:grpSp>
      <xdr:grpSp>
        <xdr:nvGrpSpPr>
          <xdr:cNvPr id="35" name="Group 34">
            <a:extLst>
              <a:ext uri="{FF2B5EF4-FFF2-40B4-BE49-F238E27FC236}">
                <a16:creationId xmlns:a16="http://schemas.microsoft.com/office/drawing/2014/main" id="{553F74B2-BEE1-C638-9ED8-81D97519473F}"/>
              </a:ext>
            </a:extLst>
          </xdr:cNvPr>
          <xdr:cNvGrpSpPr/>
        </xdr:nvGrpSpPr>
        <xdr:grpSpPr>
          <a:xfrm>
            <a:off x="11297330" y="779690"/>
            <a:ext cx="321469" cy="80962"/>
            <a:chOff x="13171714" y="1827439"/>
            <a:chExt cx="495304" cy="149679"/>
          </a:xfrm>
          <a:solidFill>
            <a:schemeClr val="bg1"/>
          </a:solidFill>
        </xdr:grpSpPr>
        <xdr:sp macro="" textlink="">
          <xdr:nvSpPr>
            <xdr:cNvPr id="36" name="Oval 35">
              <a:extLst>
                <a:ext uri="{FF2B5EF4-FFF2-40B4-BE49-F238E27FC236}">
                  <a16:creationId xmlns:a16="http://schemas.microsoft.com/office/drawing/2014/main" id="{E45C106F-9A6C-BA4B-0683-3B606BED81AA}"/>
                </a:ext>
              </a:extLst>
            </xdr:cNvPr>
            <xdr:cNvSpPr/>
          </xdr:nvSpPr>
          <xdr:spPr>
            <a:xfrm>
              <a:off x="13171714"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7" name="Oval 36">
              <a:extLst>
                <a:ext uri="{FF2B5EF4-FFF2-40B4-BE49-F238E27FC236}">
                  <a16:creationId xmlns:a16="http://schemas.microsoft.com/office/drawing/2014/main" id="{3DEB0EC3-0D70-1486-7F78-226D77592345}"/>
                </a:ext>
              </a:extLst>
            </xdr:cNvPr>
            <xdr:cNvSpPr/>
          </xdr:nvSpPr>
          <xdr:spPr>
            <a:xfrm>
              <a:off x="13351330"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38" name="Oval 37">
              <a:extLst>
                <a:ext uri="{FF2B5EF4-FFF2-40B4-BE49-F238E27FC236}">
                  <a16:creationId xmlns:a16="http://schemas.microsoft.com/office/drawing/2014/main" id="{C6F4E057-2F03-7CB4-0EC5-6FAC6AB4E2DB}"/>
                </a:ext>
              </a:extLst>
            </xdr:cNvPr>
            <xdr:cNvSpPr/>
          </xdr:nvSpPr>
          <xdr:spPr>
            <a:xfrm>
              <a:off x="13530946" y="1827439"/>
              <a:ext cx="136072" cy="149679"/>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clientData/>
  </xdr:twoCellAnchor>
  <xdr:twoCellAnchor>
    <xdr:from>
      <xdr:col>8</xdr:col>
      <xdr:colOff>89648</xdr:colOff>
      <xdr:row>8</xdr:row>
      <xdr:rowOff>81643</xdr:rowOff>
    </xdr:from>
    <xdr:to>
      <xdr:col>10</xdr:col>
      <xdr:colOff>595161</xdr:colOff>
      <xdr:row>9</xdr:row>
      <xdr:rowOff>123265</xdr:rowOff>
    </xdr:to>
    <xdr:sp macro="" textlink="">
      <xdr:nvSpPr>
        <xdr:cNvPr id="43" name="TextBox 42">
          <a:extLst>
            <a:ext uri="{FF2B5EF4-FFF2-40B4-BE49-F238E27FC236}">
              <a16:creationId xmlns:a16="http://schemas.microsoft.com/office/drawing/2014/main" id="{A5D6AECF-F130-4D52-A33F-C4C26942150F}"/>
            </a:ext>
          </a:extLst>
        </xdr:cNvPr>
        <xdr:cNvSpPr txBox="1"/>
      </xdr:nvSpPr>
      <xdr:spPr>
        <a:xfrm flipH="1">
          <a:off x="4966448" y="1377043"/>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Months</a:t>
          </a:r>
          <a:endParaRPr lang="en-US" sz="1050">
            <a:latin typeface="Lucida Console" panose="020B0609040504020204" pitchFamily="49" charset="0"/>
          </a:endParaRPr>
        </a:p>
      </xdr:txBody>
    </xdr:sp>
    <xdr:clientData/>
  </xdr:twoCellAnchor>
  <xdr:twoCellAnchor>
    <xdr:from>
      <xdr:col>13</xdr:col>
      <xdr:colOff>600637</xdr:colOff>
      <xdr:row>8</xdr:row>
      <xdr:rowOff>88367</xdr:rowOff>
    </xdr:from>
    <xdr:to>
      <xdr:col>16</xdr:col>
      <xdr:colOff>501032</xdr:colOff>
      <xdr:row>9</xdr:row>
      <xdr:rowOff>129989</xdr:rowOff>
    </xdr:to>
    <xdr:sp macro="" textlink="">
      <xdr:nvSpPr>
        <xdr:cNvPr id="44" name="TextBox 43">
          <a:extLst>
            <a:ext uri="{FF2B5EF4-FFF2-40B4-BE49-F238E27FC236}">
              <a16:creationId xmlns:a16="http://schemas.microsoft.com/office/drawing/2014/main" id="{6D261C02-0D27-4C23-AE03-F941D3C01003}"/>
            </a:ext>
          </a:extLst>
        </xdr:cNvPr>
        <xdr:cNvSpPr txBox="1"/>
      </xdr:nvSpPr>
      <xdr:spPr>
        <a:xfrm flipH="1">
          <a:off x="8525437" y="1383767"/>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Lucida Console" panose="020B0609040504020204" pitchFamily="49" charset="0"/>
            </a:rPr>
            <a:t>Sales by</a:t>
          </a:r>
          <a:r>
            <a:rPr lang="en-US" sz="1050" baseline="0">
              <a:latin typeface="Lucida Console" panose="020B0609040504020204" pitchFamily="49" charset="0"/>
            </a:rPr>
            <a:t> Cities</a:t>
          </a:r>
          <a:endParaRPr lang="en-US" sz="1050">
            <a:latin typeface="Lucida Console" panose="020B0609040504020204" pitchFamily="49" charset="0"/>
          </a:endParaRPr>
        </a:p>
      </xdr:txBody>
    </xdr:sp>
    <xdr:clientData/>
  </xdr:twoCellAnchor>
  <xdr:twoCellAnchor>
    <xdr:from>
      <xdr:col>8</xdr:col>
      <xdr:colOff>13448</xdr:colOff>
      <xdr:row>19</xdr:row>
      <xdr:rowOff>27855</xdr:rowOff>
    </xdr:from>
    <xdr:to>
      <xdr:col>10</xdr:col>
      <xdr:colOff>518961</xdr:colOff>
      <xdr:row>20</xdr:row>
      <xdr:rowOff>69477</xdr:rowOff>
    </xdr:to>
    <xdr:sp macro="" textlink="">
      <xdr:nvSpPr>
        <xdr:cNvPr id="45" name="TextBox 44">
          <a:extLst>
            <a:ext uri="{FF2B5EF4-FFF2-40B4-BE49-F238E27FC236}">
              <a16:creationId xmlns:a16="http://schemas.microsoft.com/office/drawing/2014/main" id="{3B927D6A-1F2A-4A74-BF12-9ACDB3450345}"/>
            </a:ext>
          </a:extLst>
        </xdr:cNvPr>
        <xdr:cNvSpPr txBox="1"/>
      </xdr:nvSpPr>
      <xdr:spPr>
        <a:xfrm flipH="1">
          <a:off x="4890248" y="3104430"/>
          <a:ext cx="1724713"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11</xdr:col>
      <xdr:colOff>602877</xdr:colOff>
      <xdr:row>19</xdr:row>
      <xdr:rowOff>45784</xdr:rowOff>
    </xdr:from>
    <xdr:to>
      <xdr:col>14</xdr:col>
      <xdr:colOff>503272</xdr:colOff>
      <xdr:row>20</xdr:row>
      <xdr:rowOff>87406</xdr:rowOff>
    </xdr:to>
    <xdr:sp macro="" textlink="">
      <xdr:nvSpPr>
        <xdr:cNvPr id="46" name="TextBox 45">
          <a:extLst>
            <a:ext uri="{FF2B5EF4-FFF2-40B4-BE49-F238E27FC236}">
              <a16:creationId xmlns:a16="http://schemas.microsoft.com/office/drawing/2014/main" id="{646FCCE4-B7E2-4682-AE1F-FE1B6C9F4E37}"/>
            </a:ext>
          </a:extLst>
        </xdr:cNvPr>
        <xdr:cNvSpPr txBox="1"/>
      </xdr:nvSpPr>
      <xdr:spPr>
        <a:xfrm flipH="1">
          <a:off x="7308477" y="3122359"/>
          <a:ext cx="1729195" cy="203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Qty by</a:t>
          </a:r>
          <a:r>
            <a:rPr lang="en-US" sz="900" baseline="0">
              <a:latin typeface="Lucida Console" panose="020B0609040504020204" pitchFamily="49" charset="0"/>
            </a:rPr>
            <a:t> Months</a:t>
          </a:r>
          <a:endParaRPr lang="en-US" sz="900">
            <a:latin typeface="Lucida Console" panose="020B0609040504020204" pitchFamily="49" charset="0"/>
          </a:endParaRPr>
        </a:p>
      </xdr:txBody>
    </xdr:sp>
    <xdr:clientData/>
  </xdr:twoCellAnchor>
  <xdr:twoCellAnchor>
    <xdr:from>
      <xdr:col>8</xdr:col>
      <xdr:colOff>38100</xdr:colOff>
      <xdr:row>27</xdr:row>
      <xdr:rowOff>130948</xdr:rowOff>
    </xdr:from>
    <xdr:to>
      <xdr:col>10</xdr:col>
      <xdr:colOff>543613</xdr:colOff>
      <xdr:row>29</xdr:row>
      <xdr:rowOff>15688</xdr:rowOff>
    </xdr:to>
    <xdr:sp macro="" textlink="">
      <xdr:nvSpPr>
        <xdr:cNvPr id="47" name="TextBox 46">
          <a:extLst>
            <a:ext uri="{FF2B5EF4-FFF2-40B4-BE49-F238E27FC236}">
              <a16:creationId xmlns:a16="http://schemas.microsoft.com/office/drawing/2014/main" id="{70D2D078-CFB9-49A8-87BE-978684A65501}"/>
            </a:ext>
          </a:extLst>
        </xdr:cNvPr>
        <xdr:cNvSpPr txBox="1"/>
      </xdr:nvSpPr>
      <xdr:spPr>
        <a:xfrm flipH="1">
          <a:off x="4914900" y="4502923"/>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Products</a:t>
          </a:r>
          <a:endParaRPr lang="en-US" sz="900">
            <a:latin typeface="Lucida Console" panose="020B0609040504020204" pitchFamily="49" charset="0"/>
          </a:endParaRPr>
        </a:p>
      </xdr:txBody>
    </xdr:sp>
    <xdr:clientData/>
  </xdr:twoCellAnchor>
  <xdr:twoCellAnchor>
    <xdr:from>
      <xdr:col>12</xdr:col>
      <xdr:colOff>22412</xdr:colOff>
      <xdr:row>27</xdr:row>
      <xdr:rowOff>126466</xdr:rowOff>
    </xdr:from>
    <xdr:to>
      <xdr:col>14</xdr:col>
      <xdr:colOff>527925</xdr:colOff>
      <xdr:row>29</xdr:row>
      <xdr:rowOff>11206</xdr:rowOff>
    </xdr:to>
    <xdr:sp macro="" textlink="">
      <xdr:nvSpPr>
        <xdr:cNvPr id="48" name="TextBox 47">
          <a:extLst>
            <a:ext uri="{FF2B5EF4-FFF2-40B4-BE49-F238E27FC236}">
              <a16:creationId xmlns:a16="http://schemas.microsoft.com/office/drawing/2014/main" id="{E1A26CB4-4429-4692-A54E-E881DB8DA26F}"/>
            </a:ext>
          </a:extLst>
        </xdr:cNvPr>
        <xdr:cNvSpPr txBox="1"/>
      </xdr:nvSpPr>
      <xdr:spPr>
        <a:xfrm flipH="1">
          <a:off x="7337612" y="4498441"/>
          <a:ext cx="1724713" cy="2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Lucida Console" panose="020B0609040504020204" pitchFamily="49" charset="0"/>
            </a:rPr>
            <a:t>%</a:t>
          </a:r>
          <a:r>
            <a:rPr lang="en-US" sz="900" baseline="0">
              <a:latin typeface="Lucida Console" panose="020B0609040504020204" pitchFamily="49" charset="0"/>
            </a:rPr>
            <a:t> Sales</a:t>
          </a:r>
          <a:r>
            <a:rPr lang="en-US" sz="900">
              <a:latin typeface="Lucida Console" panose="020B0609040504020204" pitchFamily="49" charset="0"/>
            </a:rPr>
            <a:t> by</a:t>
          </a:r>
          <a:r>
            <a:rPr lang="en-US" sz="900" baseline="0">
              <a:latin typeface="Lucida Console" panose="020B0609040504020204" pitchFamily="49" charset="0"/>
            </a:rPr>
            <a:t> Sales-Rep</a:t>
          </a:r>
          <a:endParaRPr lang="en-US" sz="900">
            <a:latin typeface="Lucida Console" panose="020B0609040504020204" pitchFamily="49" charset="0"/>
          </a:endParaRPr>
        </a:p>
      </xdr:txBody>
    </xdr:sp>
    <xdr:clientData/>
  </xdr:twoCellAnchor>
  <xdr:twoCellAnchor editAs="oneCell">
    <xdr:from>
      <xdr:col>16</xdr:col>
      <xdr:colOff>142874</xdr:colOff>
      <xdr:row>3</xdr:row>
      <xdr:rowOff>11907</xdr:rowOff>
    </xdr:from>
    <xdr:to>
      <xdr:col>16</xdr:col>
      <xdr:colOff>309561</xdr:colOff>
      <xdr:row>4</xdr:row>
      <xdr:rowOff>11907</xdr:rowOff>
    </xdr:to>
    <xdr:pic>
      <xdr:nvPicPr>
        <xdr:cNvPr id="49" name="Graphic 48" descr="Magnifying glass">
          <a:extLst>
            <a:ext uri="{FF2B5EF4-FFF2-40B4-BE49-F238E27FC236}">
              <a16:creationId xmlns:a16="http://schemas.microsoft.com/office/drawing/2014/main" id="{E4B69BB2-A3C5-47FF-BE60-8B07B5E5B0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96474" y="497682"/>
          <a:ext cx="166687" cy="161925"/>
        </a:xfrm>
        <a:prstGeom prst="rect">
          <a:avLst/>
        </a:prstGeom>
      </xdr:spPr>
    </xdr:pic>
    <xdr:clientData/>
  </xdr:twoCellAnchor>
  <xdr:twoCellAnchor>
    <xdr:from>
      <xdr:col>7</xdr:col>
      <xdr:colOff>489556</xdr:colOff>
      <xdr:row>4</xdr:row>
      <xdr:rowOff>146075</xdr:rowOff>
    </xdr:from>
    <xdr:to>
      <xdr:col>13</xdr:col>
      <xdr:colOff>535779</xdr:colOff>
      <xdr:row>6</xdr:row>
      <xdr:rowOff>47623</xdr:rowOff>
    </xdr:to>
    <xdr:sp macro="" textlink="">
      <xdr:nvSpPr>
        <xdr:cNvPr id="50" name="TextBox 49">
          <a:extLst>
            <a:ext uri="{FF2B5EF4-FFF2-40B4-BE49-F238E27FC236}">
              <a16:creationId xmlns:a16="http://schemas.microsoft.com/office/drawing/2014/main" id="{E9DF1128-DDE4-453F-B1E8-AC1532B658AD}"/>
            </a:ext>
          </a:extLst>
        </xdr:cNvPr>
        <xdr:cNvSpPr txBox="1"/>
      </xdr:nvSpPr>
      <xdr:spPr>
        <a:xfrm flipH="1">
          <a:off x="4756756" y="793775"/>
          <a:ext cx="3703823" cy="225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Lucida Console" panose="020B0609040504020204" pitchFamily="49" charset="0"/>
            </a:rPr>
            <a:t>How is our sales performing?</a:t>
          </a:r>
        </a:p>
      </xdr:txBody>
    </xdr:sp>
    <xdr:clientData/>
  </xdr:twoCellAnchor>
  <xdr:twoCellAnchor>
    <xdr:from>
      <xdr:col>17</xdr:col>
      <xdr:colOff>469105</xdr:colOff>
      <xdr:row>19</xdr:row>
      <xdr:rowOff>166686</xdr:rowOff>
    </xdr:from>
    <xdr:to>
      <xdr:col>18</xdr:col>
      <xdr:colOff>528636</xdr:colOff>
      <xdr:row>21</xdr:row>
      <xdr:rowOff>142873</xdr:rowOff>
    </xdr:to>
    <xdr:sp macro="" textlink="TOTAL_CUSTOMERS">
      <xdr:nvSpPr>
        <xdr:cNvPr id="51" name="TextBox 50">
          <a:extLst>
            <a:ext uri="{FF2B5EF4-FFF2-40B4-BE49-F238E27FC236}">
              <a16:creationId xmlns:a16="http://schemas.microsoft.com/office/drawing/2014/main" id="{853A0BEE-320A-401A-ACA7-B904F9B42046}"/>
            </a:ext>
          </a:extLst>
        </xdr:cNvPr>
        <xdr:cNvSpPr txBox="1"/>
      </xdr:nvSpPr>
      <xdr:spPr>
        <a:xfrm>
          <a:off x="10832305" y="3243261"/>
          <a:ext cx="66913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24F914-C5D9-4599-98A9-9D2D3921B59C}" type="TxLink">
            <a:rPr lang="en-US" sz="1800" b="1" i="0" u="none" strike="noStrike">
              <a:solidFill>
                <a:schemeClr val="bg1"/>
              </a:solidFill>
              <a:latin typeface="Lucida Console" panose="020B0609040504020204" pitchFamily="49" charset="0"/>
              <a:ea typeface="+mn-ea"/>
              <a:cs typeface="Arial"/>
            </a:rPr>
            <a:pPr marL="0" indent="0"/>
            <a:t>700</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223836</xdr:colOff>
      <xdr:row>24</xdr:row>
      <xdr:rowOff>16668</xdr:rowOff>
    </xdr:from>
    <xdr:to>
      <xdr:col>19</xdr:col>
      <xdr:colOff>166687</xdr:colOff>
      <xdr:row>25</xdr:row>
      <xdr:rowOff>161924</xdr:rowOff>
    </xdr:to>
    <xdr:sp macro="" textlink="TOTAL_SALES">
      <xdr:nvSpPr>
        <xdr:cNvPr id="52" name="TextBox 51">
          <a:extLst>
            <a:ext uri="{FF2B5EF4-FFF2-40B4-BE49-F238E27FC236}">
              <a16:creationId xmlns:a16="http://schemas.microsoft.com/office/drawing/2014/main" id="{10B649EA-C124-4C1B-AD4E-2B56EAA22242}"/>
            </a:ext>
          </a:extLst>
        </xdr:cNvPr>
        <xdr:cNvSpPr txBox="1"/>
      </xdr:nvSpPr>
      <xdr:spPr>
        <a:xfrm>
          <a:off x="10587036" y="3902868"/>
          <a:ext cx="1162051" cy="30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0178F1-60D6-406B-883C-2824C8ADF6E9}" type="TxLink">
            <a:rPr lang="en-US" sz="1800" b="1" i="0" u="none" strike="noStrike">
              <a:solidFill>
                <a:schemeClr val="bg1"/>
              </a:solidFill>
              <a:latin typeface="Lucida Console" panose="020B0609040504020204" pitchFamily="49" charset="0"/>
              <a:ea typeface="+mn-ea"/>
              <a:cs typeface="Arial"/>
            </a:rPr>
            <a:pPr marL="0" indent="0"/>
            <a:t>$472.8K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28</xdr:row>
      <xdr:rowOff>35719</xdr:rowOff>
    </xdr:from>
    <xdr:to>
      <xdr:col>19</xdr:col>
      <xdr:colOff>4762</xdr:colOff>
      <xdr:row>30</xdr:row>
      <xdr:rowOff>11906</xdr:rowOff>
    </xdr:to>
    <xdr:sp macro="" textlink="TOTAL_QTY">
      <xdr:nvSpPr>
        <xdr:cNvPr id="53" name="TextBox 52">
          <a:extLst>
            <a:ext uri="{FF2B5EF4-FFF2-40B4-BE49-F238E27FC236}">
              <a16:creationId xmlns:a16="http://schemas.microsoft.com/office/drawing/2014/main" id="{5B4A8DC9-A1E8-4D94-BF71-0E53777BCBC7}"/>
            </a:ext>
          </a:extLst>
        </xdr:cNvPr>
        <xdr:cNvSpPr txBox="1"/>
      </xdr:nvSpPr>
      <xdr:spPr>
        <a:xfrm>
          <a:off x="10748961" y="4569619"/>
          <a:ext cx="83820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F3F0BF-AFF3-44E9-9F59-502B98A54EB7}" type="TxLink">
            <a:rPr lang="en-US" sz="1800" b="1" i="0" u="none" strike="noStrike">
              <a:solidFill>
                <a:schemeClr val="bg1"/>
              </a:solidFill>
              <a:latin typeface="Lucida Console" panose="020B0609040504020204" pitchFamily="49" charset="0"/>
              <a:ea typeface="+mn-ea"/>
              <a:cs typeface="Arial"/>
            </a:rPr>
            <a:pPr marL="0" indent="0"/>
            <a:t>1.7K</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17</xdr:col>
      <xdr:colOff>385761</xdr:colOff>
      <xdr:row>32</xdr:row>
      <xdr:rowOff>52387</xdr:rowOff>
    </xdr:from>
    <xdr:to>
      <xdr:col>19</xdr:col>
      <xdr:colOff>4762</xdr:colOff>
      <xdr:row>34</xdr:row>
      <xdr:rowOff>28574</xdr:rowOff>
    </xdr:to>
    <xdr:sp macro="" textlink="AVERAGE_SALES_VALUE">
      <xdr:nvSpPr>
        <xdr:cNvPr id="54" name="TextBox 53">
          <a:extLst>
            <a:ext uri="{FF2B5EF4-FFF2-40B4-BE49-F238E27FC236}">
              <a16:creationId xmlns:a16="http://schemas.microsoft.com/office/drawing/2014/main" id="{F53184A9-19B4-4D26-91FE-E03F708FD40C}"/>
            </a:ext>
          </a:extLst>
        </xdr:cNvPr>
        <xdr:cNvSpPr txBox="1"/>
      </xdr:nvSpPr>
      <xdr:spPr>
        <a:xfrm>
          <a:off x="10748961" y="5233987"/>
          <a:ext cx="838201"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B05866-CF71-4328-9C16-7ABE01253FE3}" type="TxLink">
            <a:rPr lang="en-US" sz="1800" b="1" i="0" u="none" strike="noStrike">
              <a:solidFill>
                <a:schemeClr val="bg1"/>
              </a:solidFill>
              <a:latin typeface="Lucida Console" panose="020B0609040504020204" pitchFamily="49" charset="0"/>
              <a:ea typeface="+mn-ea"/>
              <a:cs typeface="Arial"/>
            </a:rPr>
            <a:pPr marL="0" indent="0"/>
            <a:t>575</a:t>
          </a:fld>
          <a:endParaRPr lang="en-US" sz="1800" b="1" i="0" u="none" strike="noStrike">
            <a:solidFill>
              <a:schemeClr val="bg1"/>
            </a:solidFill>
            <a:latin typeface="Lucida Console" panose="020B0609040504020204" pitchFamily="49" charset="0"/>
            <a:ea typeface="+mn-ea"/>
            <a:cs typeface="Arial"/>
          </a:endParaRPr>
        </a:p>
      </xdr:txBody>
    </xdr:sp>
    <xdr:clientData/>
  </xdr:twoCellAnchor>
  <xdr:twoCellAnchor>
    <xdr:from>
      <xdr:col>15</xdr:col>
      <xdr:colOff>426663</xdr:colOff>
      <xdr:row>19</xdr:row>
      <xdr:rowOff>62452</xdr:rowOff>
    </xdr:from>
    <xdr:to>
      <xdr:col>17</xdr:col>
      <xdr:colOff>226218</xdr:colOff>
      <xdr:row>20</xdr:row>
      <xdr:rowOff>107156</xdr:rowOff>
    </xdr:to>
    <xdr:sp macro="" textlink="">
      <xdr:nvSpPr>
        <xdr:cNvPr id="55" name="TextBox 54">
          <a:extLst>
            <a:ext uri="{FF2B5EF4-FFF2-40B4-BE49-F238E27FC236}">
              <a16:creationId xmlns:a16="http://schemas.microsoft.com/office/drawing/2014/main" id="{4184AE13-ECB8-4434-9E7F-872291770FD2}"/>
            </a:ext>
          </a:extLst>
        </xdr:cNvPr>
        <xdr:cNvSpPr txBox="1"/>
      </xdr:nvSpPr>
      <xdr:spPr>
        <a:xfrm flipH="1">
          <a:off x="9570663" y="3139027"/>
          <a:ext cx="1018755"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Customers</a:t>
          </a:r>
        </a:p>
      </xdr:txBody>
    </xdr:sp>
    <xdr:clientData/>
  </xdr:twoCellAnchor>
  <xdr:twoCellAnchor>
    <xdr:from>
      <xdr:col>15</xdr:col>
      <xdr:colOff>471904</xdr:colOff>
      <xdr:row>23</xdr:row>
      <xdr:rowOff>95790</xdr:rowOff>
    </xdr:from>
    <xdr:to>
      <xdr:col>17</xdr:col>
      <xdr:colOff>250029</xdr:colOff>
      <xdr:row>25</xdr:row>
      <xdr:rowOff>23812</xdr:rowOff>
    </xdr:to>
    <xdr:sp macro="" textlink="">
      <xdr:nvSpPr>
        <xdr:cNvPr id="56" name="TextBox 55">
          <a:extLst>
            <a:ext uri="{FF2B5EF4-FFF2-40B4-BE49-F238E27FC236}">
              <a16:creationId xmlns:a16="http://schemas.microsoft.com/office/drawing/2014/main" id="{F92B334D-1D7C-4DB2-BBFC-3DFFC941EA7A}"/>
            </a:ext>
          </a:extLst>
        </xdr:cNvPr>
        <xdr:cNvSpPr txBox="1"/>
      </xdr:nvSpPr>
      <xdr:spPr>
        <a:xfrm flipH="1">
          <a:off x="9615904" y="3820065"/>
          <a:ext cx="997325" cy="25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Revenue</a:t>
          </a:r>
        </a:p>
      </xdr:txBody>
    </xdr:sp>
    <xdr:clientData/>
  </xdr:twoCellAnchor>
  <xdr:twoCellAnchor>
    <xdr:from>
      <xdr:col>15</xdr:col>
      <xdr:colOff>421898</xdr:colOff>
      <xdr:row>27</xdr:row>
      <xdr:rowOff>117221</xdr:rowOff>
    </xdr:from>
    <xdr:to>
      <xdr:col>17</xdr:col>
      <xdr:colOff>200023</xdr:colOff>
      <xdr:row>29</xdr:row>
      <xdr:rowOff>45243</xdr:rowOff>
    </xdr:to>
    <xdr:sp macro="" textlink="">
      <xdr:nvSpPr>
        <xdr:cNvPr id="57" name="TextBox 56">
          <a:extLst>
            <a:ext uri="{FF2B5EF4-FFF2-40B4-BE49-F238E27FC236}">
              <a16:creationId xmlns:a16="http://schemas.microsoft.com/office/drawing/2014/main" id="{671C46B3-E1AF-47B3-9E80-836E49594A83}"/>
            </a:ext>
          </a:extLst>
        </xdr:cNvPr>
        <xdr:cNvSpPr txBox="1"/>
      </xdr:nvSpPr>
      <xdr:spPr>
        <a:xfrm flipH="1">
          <a:off x="9565898" y="4489196"/>
          <a:ext cx="997325" cy="25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lumMod val="65000"/>
                </a:schemeClr>
              </a:solidFill>
              <a:latin typeface="Lucida Console" panose="020B0609040504020204" pitchFamily="49" charset="0"/>
            </a:rPr>
            <a:t>Quantity</a:t>
          </a:r>
        </a:p>
      </xdr:txBody>
    </xdr:sp>
    <xdr:clientData/>
  </xdr:twoCellAnchor>
  <xdr:twoCellAnchor>
    <xdr:from>
      <xdr:col>15</xdr:col>
      <xdr:colOff>538572</xdr:colOff>
      <xdr:row>31</xdr:row>
      <xdr:rowOff>102935</xdr:rowOff>
    </xdr:from>
    <xdr:to>
      <xdr:col>17</xdr:col>
      <xdr:colOff>142873</xdr:colOff>
      <xdr:row>33</xdr:row>
      <xdr:rowOff>154781</xdr:rowOff>
    </xdr:to>
    <xdr:sp macro="" textlink="">
      <xdr:nvSpPr>
        <xdr:cNvPr id="58" name="TextBox 57">
          <a:extLst>
            <a:ext uri="{FF2B5EF4-FFF2-40B4-BE49-F238E27FC236}">
              <a16:creationId xmlns:a16="http://schemas.microsoft.com/office/drawing/2014/main" id="{E0956D6C-AE91-4DFC-A854-E90B066FDC8A}"/>
            </a:ext>
          </a:extLst>
        </xdr:cNvPr>
        <xdr:cNvSpPr txBox="1"/>
      </xdr:nvSpPr>
      <xdr:spPr>
        <a:xfrm flipH="1">
          <a:off x="9682572" y="5122610"/>
          <a:ext cx="823501" cy="3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a:solidFill>
                <a:schemeClr val="bg1">
                  <a:lumMod val="65000"/>
                </a:schemeClr>
              </a:solidFill>
              <a:latin typeface="Lucida Console" panose="020B0609040504020204" pitchFamily="49" charset="0"/>
            </a:rPr>
            <a:t>Sales</a:t>
          </a:r>
          <a:r>
            <a:rPr lang="en-US" sz="1050" b="0" baseline="0">
              <a:solidFill>
                <a:schemeClr val="bg1">
                  <a:lumMod val="65000"/>
                </a:schemeClr>
              </a:solidFill>
              <a:latin typeface="Lucida Console" panose="020B0609040504020204" pitchFamily="49" charset="0"/>
            </a:rPr>
            <a:t> </a:t>
          </a:r>
          <a:br>
            <a:rPr lang="en-US" sz="1050" b="0" baseline="0">
              <a:solidFill>
                <a:schemeClr val="bg1">
                  <a:lumMod val="65000"/>
                </a:schemeClr>
              </a:solidFill>
              <a:latin typeface="Lucida Console" panose="020B0609040504020204" pitchFamily="49" charset="0"/>
            </a:rPr>
          </a:br>
          <a:r>
            <a:rPr lang="en-US" sz="1050" b="0">
              <a:solidFill>
                <a:schemeClr val="bg1">
                  <a:lumMod val="65000"/>
                </a:schemeClr>
              </a:solidFill>
              <a:latin typeface="Lucida Console" panose="020B0609040504020204" pitchFamily="49" charset="0"/>
            </a:rPr>
            <a:t>Value</a:t>
          </a:r>
        </a:p>
      </xdr:txBody>
    </xdr:sp>
    <xdr:clientData/>
  </xdr:twoCellAnchor>
  <xdr:twoCellAnchor editAs="oneCell">
    <xdr:from>
      <xdr:col>16</xdr:col>
      <xdr:colOff>154783</xdr:colOff>
      <xdr:row>20</xdr:row>
      <xdr:rowOff>130970</xdr:rowOff>
    </xdr:from>
    <xdr:to>
      <xdr:col>16</xdr:col>
      <xdr:colOff>452439</xdr:colOff>
      <xdr:row>22</xdr:row>
      <xdr:rowOff>95251</xdr:rowOff>
    </xdr:to>
    <xdr:pic>
      <xdr:nvPicPr>
        <xdr:cNvPr id="59" name="Graphic 58" descr="Customer review">
          <a:extLst>
            <a:ext uri="{FF2B5EF4-FFF2-40B4-BE49-F238E27FC236}">
              <a16:creationId xmlns:a16="http://schemas.microsoft.com/office/drawing/2014/main" id="{014ADC56-C2B4-49F8-A8AA-F8E3A2B617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08383" y="3369470"/>
          <a:ext cx="297656" cy="288131"/>
        </a:xfrm>
        <a:prstGeom prst="rect">
          <a:avLst/>
        </a:prstGeom>
      </xdr:spPr>
    </xdr:pic>
    <xdr:clientData/>
  </xdr:twoCellAnchor>
  <xdr:twoCellAnchor editAs="oneCell">
    <xdr:from>
      <xdr:col>16</xdr:col>
      <xdr:colOff>166688</xdr:colOff>
      <xdr:row>24</xdr:row>
      <xdr:rowOff>119063</xdr:rowOff>
    </xdr:from>
    <xdr:to>
      <xdr:col>16</xdr:col>
      <xdr:colOff>441008</xdr:colOff>
      <xdr:row>26</xdr:row>
      <xdr:rowOff>60008</xdr:rowOff>
    </xdr:to>
    <xdr:pic>
      <xdr:nvPicPr>
        <xdr:cNvPr id="60" name="Graphic 59" descr="Money">
          <a:extLst>
            <a:ext uri="{FF2B5EF4-FFF2-40B4-BE49-F238E27FC236}">
              <a16:creationId xmlns:a16="http://schemas.microsoft.com/office/drawing/2014/main" id="{F2E1A05A-7773-4D14-9502-CEE536DBD57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20288" y="4005263"/>
          <a:ext cx="274320" cy="264795"/>
        </a:xfrm>
        <a:prstGeom prst="rect">
          <a:avLst/>
        </a:prstGeom>
      </xdr:spPr>
    </xdr:pic>
    <xdr:clientData/>
  </xdr:twoCellAnchor>
  <xdr:twoCellAnchor editAs="oneCell">
    <xdr:from>
      <xdr:col>16</xdr:col>
      <xdr:colOff>166688</xdr:colOff>
      <xdr:row>29</xdr:row>
      <xdr:rowOff>0</xdr:rowOff>
    </xdr:from>
    <xdr:to>
      <xdr:col>16</xdr:col>
      <xdr:colOff>441008</xdr:colOff>
      <xdr:row>30</xdr:row>
      <xdr:rowOff>107633</xdr:rowOff>
    </xdr:to>
    <xdr:pic>
      <xdr:nvPicPr>
        <xdr:cNvPr id="61" name="Graphic 60" descr="Checklist">
          <a:extLst>
            <a:ext uri="{FF2B5EF4-FFF2-40B4-BE49-F238E27FC236}">
              <a16:creationId xmlns:a16="http://schemas.microsoft.com/office/drawing/2014/main" id="{BE081C39-C620-4C06-BAA3-3B1ED50E6A8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920288" y="4695825"/>
          <a:ext cx="274320" cy="269558"/>
        </a:xfrm>
        <a:prstGeom prst="rect">
          <a:avLst/>
        </a:prstGeom>
      </xdr:spPr>
    </xdr:pic>
    <xdr:clientData/>
  </xdr:twoCellAnchor>
  <xdr:twoCellAnchor editAs="oneCell">
    <xdr:from>
      <xdr:col>16</xdr:col>
      <xdr:colOff>154782</xdr:colOff>
      <xdr:row>33</xdr:row>
      <xdr:rowOff>71437</xdr:rowOff>
    </xdr:from>
    <xdr:to>
      <xdr:col>16</xdr:col>
      <xdr:colOff>429102</xdr:colOff>
      <xdr:row>35</xdr:row>
      <xdr:rowOff>12382</xdr:rowOff>
    </xdr:to>
    <xdr:pic>
      <xdr:nvPicPr>
        <xdr:cNvPr id="62" name="Graphic 61" descr="Suitcase">
          <a:extLst>
            <a:ext uri="{FF2B5EF4-FFF2-40B4-BE49-F238E27FC236}">
              <a16:creationId xmlns:a16="http://schemas.microsoft.com/office/drawing/2014/main" id="{884BE54E-B4AE-476B-8063-FA355F7204C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908382" y="5414962"/>
          <a:ext cx="274320" cy="264795"/>
        </a:xfrm>
        <a:prstGeom prst="rect">
          <a:avLst/>
        </a:prstGeom>
      </xdr:spPr>
    </xdr:pic>
    <xdr:clientData/>
  </xdr:twoCellAnchor>
  <xdr:twoCellAnchor>
    <xdr:from>
      <xdr:col>13</xdr:col>
      <xdr:colOff>476248</xdr:colOff>
      <xdr:row>9</xdr:row>
      <xdr:rowOff>13607</xdr:rowOff>
    </xdr:from>
    <xdr:to>
      <xdr:col>19</xdr:col>
      <xdr:colOff>258535</xdr:colOff>
      <xdr:row>18</xdr:row>
      <xdr:rowOff>54427</xdr:rowOff>
    </xdr:to>
    <xdr:graphicFrame macro="">
      <xdr:nvGraphicFramePr>
        <xdr:cNvPr id="63" name="Chart 62">
          <a:extLst>
            <a:ext uri="{FF2B5EF4-FFF2-40B4-BE49-F238E27FC236}">
              <a16:creationId xmlns:a16="http://schemas.microsoft.com/office/drawing/2014/main" id="{22CE7D6D-1B11-4381-8A7D-E05E139FB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122464</xdr:colOff>
      <xdr:row>9</xdr:row>
      <xdr:rowOff>95251</xdr:rowOff>
    </xdr:from>
    <xdr:to>
      <xdr:col>13</xdr:col>
      <xdr:colOff>272141</xdr:colOff>
      <xdr:row>17</xdr:row>
      <xdr:rowOff>117020</xdr:rowOff>
    </xdr:to>
    <xdr:graphicFrame macro="">
      <xdr:nvGraphicFramePr>
        <xdr:cNvPr id="64" name="Chart 63">
          <a:extLst>
            <a:ext uri="{FF2B5EF4-FFF2-40B4-BE49-F238E27FC236}">
              <a16:creationId xmlns:a16="http://schemas.microsoft.com/office/drawing/2014/main" id="{E4949425-EF3A-4144-BD04-93C49E6B4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95249</xdr:colOff>
      <xdr:row>19</xdr:row>
      <xdr:rowOff>107155</xdr:rowOff>
    </xdr:from>
    <xdr:to>
      <xdr:col>12</xdr:col>
      <xdr:colOff>59532</xdr:colOff>
      <xdr:row>27</xdr:row>
      <xdr:rowOff>142874</xdr:rowOff>
    </xdr:to>
    <xdr:graphicFrame macro="">
      <xdr:nvGraphicFramePr>
        <xdr:cNvPr id="65" name="Chart 64">
          <a:extLst>
            <a:ext uri="{FF2B5EF4-FFF2-40B4-BE49-F238E27FC236}">
              <a16:creationId xmlns:a16="http://schemas.microsoft.com/office/drawing/2014/main" id="{01D4AAAB-E984-4164-AD9C-3D8301AF8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404812</xdr:colOff>
      <xdr:row>20</xdr:row>
      <xdr:rowOff>35719</xdr:rowOff>
    </xdr:from>
    <xdr:to>
      <xdr:col>15</xdr:col>
      <xdr:colOff>369094</xdr:colOff>
      <xdr:row>27</xdr:row>
      <xdr:rowOff>59532</xdr:rowOff>
    </xdr:to>
    <xdr:graphicFrame macro="">
      <xdr:nvGraphicFramePr>
        <xdr:cNvPr id="66" name="Chart 65">
          <a:extLst>
            <a:ext uri="{FF2B5EF4-FFF2-40B4-BE49-F238E27FC236}">
              <a16:creationId xmlns:a16="http://schemas.microsoft.com/office/drawing/2014/main" id="{BB75D7AD-DA81-4066-BCE3-A524D53D1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11905</xdr:colOff>
      <xdr:row>28</xdr:row>
      <xdr:rowOff>47624</xdr:rowOff>
    </xdr:from>
    <xdr:to>
      <xdr:col>11</xdr:col>
      <xdr:colOff>547687</xdr:colOff>
      <xdr:row>35</xdr:row>
      <xdr:rowOff>166686</xdr:rowOff>
    </xdr:to>
    <xdr:graphicFrame macro="">
      <xdr:nvGraphicFramePr>
        <xdr:cNvPr id="67" name="Chart 66">
          <a:extLst>
            <a:ext uri="{FF2B5EF4-FFF2-40B4-BE49-F238E27FC236}">
              <a16:creationId xmlns:a16="http://schemas.microsoft.com/office/drawing/2014/main" id="{F76DA4FD-702B-4035-BC52-145E76F1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498103</xdr:colOff>
      <xdr:row>32</xdr:row>
      <xdr:rowOff>62453</xdr:rowOff>
    </xdr:from>
    <xdr:to>
      <xdr:col>10</xdr:col>
      <xdr:colOff>398498</xdr:colOff>
      <xdr:row>33</xdr:row>
      <xdr:rowOff>104074</xdr:rowOff>
    </xdr:to>
    <xdr:sp macro="" textlink="top_product">
      <xdr:nvSpPr>
        <xdr:cNvPr id="68" name="TextBox 67">
          <a:extLst>
            <a:ext uri="{FF2B5EF4-FFF2-40B4-BE49-F238E27FC236}">
              <a16:creationId xmlns:a16="http://schemas.microsoft.com/office/drawing/2014/main" id="{AD28F14A-F433-44E1-8FDF-1F6A87F016B2}"/>
            </a:ext>
          </a:extLst>
        </xdr:cNvPr>
        <xdr:cNvSpPr txBox="1"/>
      </xdr:nvSpPr>
      <xdr:spPr>
        <a:xfrm flipH="1">
          <a:off x="4765303" y="5244053"/>
          <a:ext cx="1729195" cy="20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33ACC4-2C95-48E2-B46E-34C34A501F91}" type="TxLink">
            <a:rPr lang="en-US" sz="1000" b="0" i="0" u="none" strike="noStrike">
              <a:solidFill>
                <a:schemeClr val="bg1">
                  <a:lumMod val="50000"/>
                </a:schemeClr>
              </a:solidFill>
              <a:latin typeface="Lucida Console" panose="020B0609040504020204" pitchFamily="49" charset="0"/>
              <a:cs typeface="Arial"/>
            </a:rPr>
            <a:pPr algn="ctr"/>
            <a:t>Phone</a:t>
          </a:fld>
          <a:endParaRPr lang="en-US" sz="900">
            <a:solidFill>
              <a:schemeClr val="bg1">
                <a:lumMod val="50000"/>
              </a:schemeClr>
            </a:solidFill>
            <a:latin typeface="Lucida Console" panose="020B0609040504020204" pitchFamily="49" charset="0"/>
          </a:endParaRPr>
        </a:p>
      </xdr:txBody>
    </xdr:sp>
    <xdr:clientData/>
  </xdr:twoCellAnchor>
  <xdr:twoCellAnchor>
    <xdr:from>
      <xdr:col>8</xdr:col>
      <xdr:colOff>281406</xdr:colOff>
      <xdr:row>31</xdr:row>
      <xdr:rowOff>36260</xdr:rowOff>
    </xdr:from>
    <xdr:to>
      <xdr:col>10</xdr:col>
      <xdr:colOff>23811</xdr:colOff>
      <xdr:row>32</xdr:row>
      <xdr:rowOff>83345</xdr:rowOff>
    </xdr:to>
    <xdr:sp macro="" textlink="top_percentage_product">
      <xdr:nvSpPr>
        <xdr:cNvPr id="69" name="TextBox 68">
          <a:extLst>
            <a:ext uri="{FF2B5EF4-FFF2-40B4-BE49-F238E27FC236}">
              <a16:creationId xmlns:a16="http://schemas.microsoft.com/office/drawing/2014/main" id="{B4CF8052-BF3E-45C3-B81C-3BB1E11C206B}"/>
            </a:ext>
          </a:extLst>
        </xdr:cNvPr>
        <xdr:cNvSpPr txBox="1"/>
      </xdr:nvSpPr>
      <xdr:spPr>
        <a:xfrm flipH="1">
          <a:off x="5158206" y="5055935"/>
          <a:ext cx="961605" cy="209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4CFC4-969B-4159-9A21-B432568E0440}" type="TxLink">
            <a:rPr lang="en-US" sz="1400" b="1" i="0" u="none" strike="noStrike">
              <a:solidFill>
                <a:schemeClr val="tx1">
                  <a:lumMod val="65000"/>
                  <a:lumOff val="35000"/>
                </a:schemeClr>
              </a:solidFill>
              <a:latin typeface="Lucida Console" panose="020B0609040504020204" pitchFamily="49" charset="0"/>
              <a:cs typeface="Arial"/>
            </a:rPr>
            <a:pPr algn="ctr"/>
            <a:t>23.50%</a:t>
          </a:fld>
          <a:endParaRPr lang="en-US" sz="1200" b="1">
            <a:solidFill>
              <a:schemeClr val="tx1">
                <a:lumMod val="65000"/>
                <a:lumOff val="35000"/>
              </a:schemeClr>
            </a:solidFill>
            <a:latin typeface="Lucida Console" panose="020B0609040504020204" pitchFamily="49" charset="0"/>
          </a:endParaRPr>
        </a:p>
      </xdr:txBody>
    </xdr:sp>
    <xdr:clientData/>
  </xdr:twoCellAnchor>
  <xdr:twoCellAnchor>
    <xdr:from>
      <xdr:col>11</xdr:col>
      <xdr:colOff>607218</xdr:colOff>
      <xdr:row>27</xdr:row>
      <xdr:rowOff>166686</xdr:rowOff>
    </xdr:from>
    <xdr:to>
      <xdr:col>15</xdr:col>
      <xdr:colOff>226218</xdr:colOff>
      <xdr:row>35</xdr:row>
      <xdr:rowOff>88106</xdr:rowOff>
    </xdr:to>
    <xdr:graphicFrame macro="">
      <xdr:nvGraphicFramePr>
        <xdr:cNvPr id="70" name="Chart 69">
          <a:extLst>
            <a:ext uri="{FF2B5EF4-FFF2-40B4-BE49-F238E27FC236}">
              <a16:creationId xmlns:a16="http://schemas.microsoft.com/office/drawing/2014/main" id="{2CE91A81-AE71-4668-BF1F-DCBE46492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195679</xdr:colOff>
      <xdr:row>31</xdr:row>
      <xdr:rowOff>45785</xdr:rowOff>
    </xdr:from>
    <xdr:to>
      <xdr:col>13</xdr:col>
      <xdr:colOff>545303</xdr:colOff>
      <xdr:row>32</xdr:row>
      <xdr:rowOff>92870</xdr:rowOff>
    </xdr:to>
    <xdr:sp macro="" textlink="top_percentage_rep">
      <xdr:nvSpPr>
        <xdr:cNvPr id="71" name="TextBox 70">
          <a:extLst>
            <a:ext uri="{FF2B5EF4-FFF2-40B4-BE49-F238E27FC236}">
              <a16:creationId xmlns:a16="http://schemas.microsoft.com/office/drawing/2014/main" id="{2976741D-883E-4E56-8741-7E9C6894747C}"/>
            </a:ext>
          </a:extLst>
        </xdr:cNvPr>
        <xdr:cNvSpPr txBox="1"/>
      </xdr:nvSpPr>
      <xdr:spPr>
        <a:xfrm flipH="1">
          <a:off x="7510879" y="5065460"/>
          <a:ext cx="959224" cy="209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C695B7-6D14-4E91-89E0-77D819356C7E}" type="TxLink">
            <a:rPr lang="en-US" sz="1400" b="1" i="0" u="none" strike="noStrike">
              <a:solidFill>
                <a:schemeClr val="tx1">
                  <a:lumMod val="65000"/>
                  <a:lumOff val="35000"/>
                </a:schemeClr>
              </a:solidFill>
              <a:latin typeface="Lucida Console" panose="020B0609040504020204" pitchFamily="49" charset="0"/>
              <a:ea typeface="+mn-ea"/>
              <a:cs typeface="Arial"/>
            </a:rPr>
            <a:pPr marL="0" indent="0" algn="ctr"/>
            <a:t>27.13%</a:t>
          </a:fld>
          <a:endParaRPr lang="en-US" sz="1400" b="1" i="0" u="none" strike="noStrike">
            <a:solidFill>
              <a:schemeClr val="tx1">
                <a:lumMod val="65000"/>
                <a:lumOff val="35000"/>
              </a:schemeClr>
            </a:solidFill>
            <a:latin typeface="Lucida Console" panose="020B0609040504020204" pitchFamily="49" charset="0"/>
            <a:ea typeface="+mn-ea"/>
            <a:cs typeface="Arial"/>
          </a:endParaRPr>
        </a:p>
      </xdr:txBody>
    </xdr:sp>
    <xdr:clientData/>
  </xdr:twoCellAnchor>
  <xdr:twoCellAnchor>
    <xdr:from>
      <xdr:col>11</xdr:col>
      <xdr:colOff>436191</xdr:colOff>
      <xdr:row>32</xdr:row>
      <xdr:rowOff>71977</xdr:rowOff>
    </xdr:from>
    <xdr:to>
      <xdr:col>14</xdr:col>
      <xdr:colOff>336586</xdr:colOff>
      <xdr:row>33</xdr:row>
      <xdr:rowOff>113598</xdr:rowOff>
    </xdr:to>
    <xdr:sp macro="" textlink="top_rep">
      <xdr:nvSpPr>
        <xdr:cNvPr id="72" name="TextBox 71">
          <a:extLst>
            <a:ext uri="{FF2B5EF4-FFF2-40B4-BE49-F238E27FC236}">
              <a16:creationId xmlns:a16="http://schemas.microsoft.com/office/drawing/2014/main" id="{B291453E-B424-48D5-9FEF-D1ECE656F556}"/>
            </a:ext>
          </a:extLst>
        </xdr:cNvPr>
        <xdr:cNvSpPr txBox="1"/>
      </xdr:nvSpPr>
      <xdr:spPr>
        <a:xfrm flipH="1">
          <a:off x="7141791" y="5253577"/>
          <a:ext cx="1729195" cy="20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075834-7BA1-40C4-B547-6F986889E11B}" type="TxLink">
            <a:rPr lang="en-US" sz="1000" b="0" i="0" u="none" strike="noStrike">
              <a:solidFill>
                <a:schemeClr val="bg1">
                  <a:lumMod val="50000"/>
                </a:schemeClr>
              </a:solidFill>
              <a:latin typeface="Lucida Console" panose="020B0609040504020204" pitchFamily="49" charset="0"/>
              <a:ea typeface="+mn-ea"/>
              <a:cs typeface="Arial"/>
            </a:rPr>
            <a:pPr marL="0" indent="0" algn="ctr"/>
            <a:t>Rep-B</a:t>
          </a:fld>
          <a:endParaRPr lang="en-US" sz="1000" b="0" i="0" u="none" strike="noStrike">
            <a:solidFill>
              <a:schemeClr val="bg1">
                <a:lumMod val="50000"/>
              </a:schemeClr>
            </a:solidFill>
            <a:latin typeface="Lucida Console" panose="020B0609040504020204" pitchFamily="49" charset="0"/>
            <a:ea typeface="+mn-ea"/>
            <a:cs typeface="Arial"/>
          </a:endParaRPr>
        </a:p>
      </xdr:txBody>
    </xdr:sp>
    <xdr:clientData/>
  </xdr:twoCellAnchor>
  <xdr:twoCellAnchor editAs="oneCell">
    <xdr:from>
      <xdr:col>5</xdr:col>
      <xdr:colOff>392906</xdr:colOff>
      <xdr:row>11</xdr:row>
      <xdr:rowOff>23814</xdr:rowOff>
    </xdr:from>
    <xdr:to>
      <xdr:col>7</xdr:col>
      <xdr:colOff>321469</xdr:colOff>
      <xdr:row>15</xdr:row>
      <xdr:rowOff>0</xdr:rowOff>
    </xdr:to>
    <mc:AlternateContent xmlns:mc="http://schemas.openxmlformats.org/markup-compatibility/2006">
      <mc:Choice xmlns:a14="http://schemas.microsoft.com/office/drawing/2010/main" Requires="a14">
        <xdr:graphicFrame macro="">
          <xdr:nvGraphicFramePr>
            <xdr:cNvPr id="73" name="Sales Status 1">
              <a:extLst>
                <a:ext uri="{FF2B5EF4-FFF2-40B4-BE49-F238E27FC236}">
                  <a16:creationId xmlns:a16="http://schemas.microsoft.com/office/drawing/2014/main" id="{893ED7D7-7BEC-498B-AF94-35BC6BC1FF47}"/>
                </a:ext>
              </a:extLst>
            </xdr:cNvPr>
            <xdr:cNvGraphicFramePr/>
          </xdr:nvGraphicFramePr>
          <xdr:xfrm>
            <a:off x="0" y="0"/>
            <a:ext cx="0" cy="0"/>
          </xdr:xfrm>
          <a:graphic>
            <a:graphicData uri="http://schemas.microsoft.com/office/drawing/2010/slicer">
              <sle:slicer xmlns:sle="http://schemas.microsoft.com/office/drawing/2010/slicer" name="Sales Status 1"/>
            </a:graphicData>
          </a:graphic>
        </xdr:graphicFrame>
      </mc:Choice>
      <mc:Fallback>
        <xdr:sp macro="" textlink="">
          <xdr:nvSpPr>
            <xdr:cNvPr id="0" name=""/>
            <xdr:cNvSpPr>
              <a:spLocks noTextEdit="1"/>
            </xdr:cNvSpPr>
          </xdr:nvSpPr>
          <xdr:spPr>
            <a:xfrm>
              <a:off x="3429000" y="1857377"/>
              <a:ext cx="1143000" cy="642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404811</xdr:colOff>
      <xdr:row>15</xdr:row>
      <xdr:rowOff>35718</xdr:rowOff>
    </xdr:from>
    <xdr:to>
      <xdr:col>7</xdr:col>
      <xdr:colOff>309561</xdr:colOff>
      <xdr:row>22</xdr:row>
      <xdr:rowOff>23812</xdr:rowOff>
    </xdr:to>
    <mc:AlternateContent xmlns:mc="http://schemas.openxmlformats.org/markup-compatibility/2006">
      <mc:Choice xmlns:a14="http://schemas.microsoft.com/office/drawing/2010/main" Requires="a14">
        <xdr:graphicFrame macro="">
          <xdr:nvGraphicFramePr>
            <xdr:cNvPr id="74" name="Delivery Status 1">
              <a:extLst>
                <a:ext uri="{FF2B5EF4-FFF2-40B4-BE49-F238E27FC236}">
                  <a16:creationId xmlns:a16="http://schemas.microsoft.com/office/drawing/2014/main" id="{A66A2FCE-80BD-4873-9792-23044E697EE2}"/>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3440905" y="2536031"/>
              <a:ext cx="1119187" cy="115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240146</xdr:colOff>
      <xdr:row>30</xdr:row>
      <xdr:rowOff>20286</xdr:rowOff>
    </xdr:from>
    <xdr:to>
      <xdr:col>6</xdr:col>
      <xdr:colOff>507595</xdr:colOff>
      <xdr:row>31</xdr:row>
      <xdr:rowOff>119057</xdr:rowOff>
    </xdr:to>
    <xdr:pic>
      <xdr:nvPicPr>
        <xdr:cNvPr id="75" name="Graphic 74" descr="Clipboard">
          <a:hlinkClick xmlns:r="http://schemas.openxmlformats.org/officeDocument/2006/relationships" r:id="rId25"/>
          <a:extLst>
            <a:ext uri="{FF2B5EF4-FFF2-40B4-BE49-F238E27FC236}">
              <a16:creationId xmlns:a16="http://schemas.microsoft.com/office/drawing/2014/main" id="{9FC94318-006D-4B75-ACE2-7DD0A8DB41DC}"/>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883459" y="5020911"/>
          <a:ext cx="267449" cy="265459"/>
        </a:xfrm>
        <a:prstGeom prst="rect">
          <a:avLst/>
        </a:prstGeom>
      </xdr:spPr>
    </xdr:pic>
    <xdr:clientData/>
  </xdr:twoCellAnchor>
  <xdr:twoCellAnchor editAs="oneCell">
    <xdr:from>
      <xdr:col>5</xdr:col>
      <xdr:colOff>416718</xdr:colOff>
      <xdr:row>20</xdr:row>
      <xdr:rowOff>130970</xdr:rowOff>
    </xdr:from>
    <xdr:to>
      <xdr:col>7</xdr:col>
      <xdr:colOff>309563</xdr:colOff>
      <xdr:row>26</xdr:row>
      <xdr:rowOff>130969</xdr:rowOff>
    </xdr:to>
    <mc:AlternateContent xmlns:mc="http://schemas.openxmlformats.org/markup-compatibility/2006">
      <mc:Choice xmlns:a14="http://schemas.microsoft.com/office/drawing/2010/main" Requires="a14">
        <xdr:graphicFrame macro="">
          <xdr:nvGraphicFramePr>
            <xdr:cNvPr id="76" name="Sales  Year">
              <a:extLst>
                <a:ext uri="{FF2B5EF4-FFF2-40B4-BE49-F238E27FC236}">
                  <a16:creationId xmlns:a16="http://schemas.microsoft.com/office/drawing/2014/main" id="{9415362C-DF2C-4473-9646-9283E135932D}"/>
                </a:ext>
              </a:extLst>
            </xdr:cNvPr>
            <xdr:cNvGraphicFramePr/>
          </xdr:nvGraphicFramePr>
          <xdr:xfrm>
            <a:off x="0" y="0"/>
            <a:ext cx="0" cy="0"/>
          </xdr:xfrm>
          <a:graphic>
            <a:graphicData uri="http://schemas.microsoft.com/office/drawing/2010/slicer">
              <sle:slicer xmlns:sle="http://schemas.microsoft.com/office/drawing/2010/slicer" name="Sales  Year"/>
            </a:graphicData>
          </a:graphic>
        </xdr:graphicFrame>
      </mc:Choice>
      <mc:Fallback>
        <xdr:sp macro="" textlink="">
          <xdr:nvSpPr>
            <xdr:cNvPr id="0" name=""/>
            <xdr:cNvSpPr>
              <a:spLocks noTextEdit="1"/>
            </xdr:cNvSpPr>
          </xdr:nvSpPr>
          <xdr:spPr>
            <a:xfrm>
              <a:off x="3452812" y="3464720"/>
              <a:ext cx="1107282"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166686</xdr:colOff>
      <xdr:row>25</xdr:row>
      <xdr:rowOff>83343</xdr:rowOff>
    </xdr:from>
    <xdr:to>
      <xdr:col>6</xdr:col>
      <xdr:colOff>547686</xdr:colOff>
      <xdr:row>27</xdr:row>
      <xdr:rowOff>130968</xdr:rowOff>
    </xdr:to>
    <xdr:pic>
      <xdr:nvPicPr>
        <xdr:cNvPr id="79" name="Graphic 78" descr="Teacher">
          <a:hlinkClick xmlns:r="http://schemas.openxmlformats.org/officeDocument/2006/relationships" r:id="rId28"/>
          <a:extLst>
            <a:ext uri="{FF2B5EF4-FFF2-40B4-BE49-F238E27FC236}">
              <a16:creationId xmlns:a16="http://schemas.microsoft.com/office/drawing/2014/main" id="{93E01D16-88B9-0CAF-0A8E-038EF1BD6A2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3809999" y="4250531"/>
          <a:ext cx="3810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the Anayst" refreshedDate="45983.425229745371" createdVersion="8" refreshedVersion="8" minRefreshableVersion="3" recordCount="700" xr:uid="{1657BCFA-F19A-4905-AE56-4224571552D8}">
  <cacheSource type="worksheet">
    <worksheetSource ref="B1:P701" sheet="Cleaned Data"/>
  </cacheSource>
  <cacheFields count="15">
    <cacheField name="CustomerID" numFmtId="0">
      <sharedItems/>
    </cacheField>
    <cacheField name="City" numFmtId="0">
      <sharedItems count="5">
        <s v="Houston "/>
        <s v="New York "/>
        <s v="Chicago "/>
        <s v="Phoenix "/>
        <s v="Los Angeles "/>
      </sharedItems>
    </cacheField>
    <cacheField name="Sales  Year" numFmtId="165">
      <sharedItems containsSemiMixedTypes="0" containsString="0" containsNumber="1" containsInteger="1" minValue="2023" maxValue="2024" count="2">
        <n v="2023"/>
        <n v="2024"/>
      </sharedItems>
    </cacheField>
    <cacheField name="Month Sales" numFmtId="165">
      <sharedItems count="12">
        <s v="Nov"/>
        <s v="May"/>
        <s v="Jan"/>
        <s v="Jul"/>
        <s v="Dec"/>
        <s v="Feb"/>
        <s v="Jun"/>
        <s v="Sep"/>
        <s v="Mar"/>
        <s v="Aug"/>
        <s v="Apr"/>
        <s v="Oct"/>
      </sharedItems>
    </cacheField>
    <cacheField name="DeliveryDate" numFmtId="164">
      <sharedItems containsSemiMixedTypes="0" containsNonDate="0" containsDate="1" containsString="0" minDate="2023-01-02T00:00:00" maxDate="2024-01-06T00:00:00"/>
    </cacheField>
    <cacheField name="SalesValue" numFmtId="0">
      <sharedItems containsSemiMixedTypes="0" containsString="0" containsNumber="1" containsInteger="1" minValue="100" maxValue="999"/>
    </cacheField>
    <cacheField name="DeliveryDuration" numFmtId="0">
      <sharedItems containsSemiMixedTypes="0" containsString="0" containsNumber="1" containsInteger="1" minValue="1" maxValue="9"/>
    </cacheField>
    <cacheField name="Delivery Status" numFmtId="0">
      <sharedItems count="3">
        <s v="Standard"/>
        <s v="Slow"/>
        <s v="Early"/>
      </sharedItems>
    </cacheField>
    <cacheField name="Week Sales" numFmtId="0">
      <sharedItems/>
    </cacheField>
    <cacheField name="Product" numFmtId="0">
      <sharedItems count="5">
        <s v="Monitor"/>
        <s v="Laptop"/>
        <s v="Tablet"/>
        <s v="Headphones"/>
        <s v="Phone"/>
      </sharedItems>
    </cacheField>
    <cacheField name="Quantity" numFmtId="0">
      <sharedItems containsSemiMixedTypes="0" containsString="0" containsNumber="1" containsInteger="1" minValue="1" maxValue="4"/>
    </cacheField>
    <cacheField name="UnitPrice" numFmtId="0">
      <sharedItems containsSemiMixedTypes="0" containsString="0" containsNumber="1" minValue="50.01" maxValue="498.73"/>
    </cacheField>
    <cacheField name="TotalPrice" numFmtId="0">
      <sharedItems containsSemiMixedTypes="0" containsString="0" containsNumber="1" minValue="50.66" maxValue="1966.04"/>
    </cacheField>
    <cacheField name="SalesRep" numFmtId="0">
      <sharedItems count="4">
        <s v="Rep-B"/>
        <s v="Rep-D"/>
        <s v="Rep-C"/>
        <s v="Rep-A"/>
      </sharedItems>
    </cacheField>
    <cacheField name="Sales Status" numFmtId="0">
      <sharedItems count="2">
        <s v="Low Sales"/>
        <s v="High Sales"/>
      </sharedItems>
    </cacheField>
  </cacheFields>
  <extLst>
    <ext xmlns:x14="http://schemas.microsoft.com/office/spreadsheetml/2009/9/main" uri="{725AE2AE-9491-48be-B2B4-4EB974FC3084}">
      <x14:pivotCacheDefinition pivotCacheId="1754504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US-8270-MN"/>
    <x v="0"/>
    <x v="0"/>
    <x v="0"/>
    <d v="2023-11-02T00:00:00"/>
    <n v="119"/>
    <n v="6"/>
    <x v="0"/>
    <s v="Thursday"/>
    <x v="0"/>
    <n v="2"/>
    <n v="111.47"/>
    <n v="222.94"/>
    <x v="0"/>
    <x v="0"/>
  </r>
  <r>
    <s v="CUS-1860-KL"/>
    <x v="1"/>
    <x v="0"/>
    <x v="1"/>
    <d v="2023-05-15T00:00:00"/>
    <n v="686"/>
    <n v="9"/>
    <x v="1"/>
    <s v="Monday"/>
    <x v="1"/>
    <n v="1"/>
    <n v="343.24"/>
    <n v="343.24"/>
    <x v="1"/>
    <x v="0"/>
  </r>
  <r>
    <s v="CUS-6390-KL"/>
    <x v="1"/>
    <x v="0"/>
    <x v="1"/>
    <d v="2023-05-13T00:00:00"/>
    <n v="854"/>
    <n v="6"/>
    <x v="0"/>
    <s v="Saturday"/>
    <x v="1"/>
    <n v="1"/>
    <n v="382.37"/>
    <n v="382.37"/>
    <x v="2"/>
    <x v="1"/>
  </r>
  <r>
    <s v="CUS-6191-AB"/>
    <x v="2"/>
    <x v="0"/>
    <x v="2"/>
    <d v="2023-01-21T00:00:00"/>
    <n v="834"/>
    <n v="9"/>
    <x v="1"/>
    <s v="Saturday"/>
    <x v="1"/>
    <n v="4"/>
    <n v="192.03"/>
    <n v="768.12"/>
    <x v="0"/>
    <x v="1"/>
  </r>
  <r>
    <s v="CUS-6734-AB"/>
    <x v="1"/>
    <x v="0"/>
    <x v="3"/>
    <d v="2023-07-27T00:00:00"/>
    <n v="169"/>
    <n v="7"/>
    <x v="1"/>
    <s v="Thursday"/>
    <x v="0"/>
    <n v="4"/>
    <n v="340.17"/>
    <n v="1360.68"/>
    <x v="2"/>
    <x v="1"/>
  </r>
  <r>
    <s v="CUS-7265-MN"/>
    <x v="0"/>
    <x v="0"/>
    <x v="3"/>
    <d v="2023-07-24T00:00:00"/>
    <n v="923"/>
    <n v="9"/>
    <x v="1"/>
    <s v="Monday"/>
    <x v="2"/>
    <n v="3"/>
    <n v="227.81"/>
    <n v="683.43"/>
    <x v="2"/>
    <x v="1"/>
  </r>
  <r>
    <s v="CUS-1466-XY"/>
    <x v="2"/>
    <x v="0"/>
    <x v="1"/>
    <d v="2023-05-12T00:00:00"/>
    <n v="310"/>
    <n v="2"/>
    <x v="2"/>
    <s v="Friday"/>
    <x v="1"/>
    <n v="4"/>
    <n v="370.94"/>
    <n v="1483.76"/>
    <x v="3"/>
    <x v="1"/>
  </r>
  <r>
    <s v="CUS-5426-AB"/>
    <x v="3"/>
    <x v="0"/>
    <x v="4"/>
    <d v="2023-12-01T00:00:00"/>
    <n v="200"/>
    <n v="8"/>
    <x v="1"/>
    <s v="Friday"/>
    <x v="1"/>
    <n v="4"/>
    <n v="139.65"/>
    <n v="558.6"/>
    <x v="2"/>
    <x v="1"/>
  </r>
  <r>
    <s v="CUS-6578-XY"/>
    <x v="0"/>
    <x v="0"/>
    <x v="5"/>
    <d v="2023-02-24T00:00:00"/>
    <n v="797"/>
    <n v="8"/>
    <x v="1"/>
    <s v="Friday"/>
    <x v="3"/>
    <n v="4"/>
    <n v="450.6"/>
    <n v="1802.4"/>
    <x v="0"/>
    <x v="1"/>
  </r>
  <r>
    <s v="CUS-9322-AB"/>
    <x v="2"/>
    <x v="0"/>
    <x v="1"/>
    <d v="2023-05-03T00:00:00"/>
    <n v="231"/>
    <n v="2"/>
    <x v="2"/>
    <s v="Wednesday"/>
    <x v="0"/>
    <n v="1"/>
    <n v="179.33"/>
    <n v="179.33"/>
    <x v="3"/>
    <x v="1"/>
  </r>
  <r>
    <s v="CUS-2685-XY"/>
    <x v="4"/>
    <x v="0"/>
    <x v="1"/>
    <d v="2023-05-02T00:00:00"/>
    <n v="722"/>
    <n v="4"/>
    <x v="0"/>
    <s v="Tuesday"/>
    <x v="0"/>
    <n v="1"/>
    <n v="215.5"/>
    <n v="215.5"/>
    <x v="3"/>
    <x v="1"/>
  </r>
  <r>
    <s v="CUS-1769-AB"/>
    <x v="0"/>
    <x v="0"/>
    <x v="5"/>
    <d v="2023-02-10T00:00:00"/>
    <n v="480"/>
    <n v="7"/>
    <x v="1"/>
    <s v="Friday"/>
    <x v="4"/>
    <n v="1"/>
    <n v="76.14"/>
    <n v="76.14"/>
    <x v="3"/>
    <x v="1"/>
  </r>
  <r>
    <s v="CUS-7949-XY"/>
    <x v="2"/>
    <x v="0"/>
    <x v="6"/>
    <d v="2023-06-29T00:00:00"/>
    <n v="231"/>
    <n v="4"/>
    <x v="0"/>
    <s v="Thursday"/>
    <x v="0"/>
    <n v="4"/>
    <n v="100.18"/>
    <n v="400.72"/>
    <x v="1"/>
    <x v="1"/>
  </r>
  <r>
    <s v="CUS-3433-XY"/>
    <x v="3"/>
    <x v="0"/>
    <x v="7"/>
    <d v="2023-09-13T00:00:00"/>
    <n v="119"/>
    <n v="4"/>
    <x v="0"/>
    <s v="Wednesday"/>
    <x v="1"/>
    <n v="1"/>
    <n v="282.14"/>
    <n v="282.14"/>
    <x v="3"/>
    <x v="1"/>
  </r>
  <r>
    <s v="CUS-6311-KL"/>
    <x v="4"/>
    <x v="0"/>
    <x v="3"/>
    <d v="2023-07-12T00:00:00"/>
    <n v="635"/>
    <n v="6"/>
    <x v="0"/>
    <s v="Wednesday"/>
    <x v="3"/>
    <n v="4"/>
    <n v="170.42"/>
    <n v="681.68"/>
    <x v="2"/>
    <x v="0"/>
  </r>
  <r>
    <s v="CUS-6051-MN"/>
    <x v="1"/>
    <x v="0"/>
    <x v="8"/>
    <d v="2023-03-05T00:00:00"/>
    <n v="326"/>
    <n v="6"/>
    <x v="0"/>
    <s v="Sunday"/>
    <x v="3"/>
    <n v="1"/>
    <n v="425.97"/>
    <n v="425.97"/>
    <x v="3"/>
    <x v="0"/>
  </r>
  <r>
    <s v="CUS-7420-MN"/>
    <x v="4"/>
    <x v="0"/>
    <x v="1"/>
    <d v="2023-05-21T00:00:00"/>
    <n v="253"/>
    <n v="3"/>
    <x v="0"/>
    <s v="Sunday"/>
    <x v="0"/>
    <n v="1"/>
    <n v="56.61"/>
    <n v="56.61"/>
    <x v="3"/>
    <x v="0"/>
  </r>
  <r>
    <s v="CUS-2184-KL"/>
    <x v="4"/>
    <x v="0"/>
    <x v="2"/>
    <d v="2023-01-10T00:00:00"/>
    <n v="904"/>
    <n v="9"/>
    <x v="1"/>
    <s v="Tuesday"/>
    <x v="0"/>
    <n v="2"/>
    <n v="220.59"/>
    <n v="441.18"/>
    <x v="2"/>
    <x v="1"/>
  </r>
  <r>
    <s v="CUS-5555-KL"/>
    <x v="1"/>
    <x v="0"/>
    <x v="0"/>
    <d v="2023-11-15T00:00:00"/>
    <n v="841"/>
    <n v="2"/>
    <x v="2"/>
    <s v="Wednesday"/>
    <x v="1"/>
    <n v="3"/>
    <n v="201.81"/>
    <n v="605.42999999999995"/>
    <x v="3"/>
    <x v="1"/>
  </r>
  <r>
    <s v="CUS-4385-KL"/>
    <x v="0"/>
    <x v="0"/>
    <x v="5"/>
    <d v="2023-02-06T00:00:00"/>
    <n v="568"/>
    <n v="6"/>
    <x v="0"/>
    <s v="Monday"/>
    <x v="4"/>
    <n v="4"/>
    <n v="58.7"/>
    <n v="234.8"/>
    <x v="0"/>
    <x v="0"/>
  </r>
  <r>
    <s v="CUS-7396-XY"/>
    <x v="1"/>
    <x v="0"/>
    <x v="9"/>
    <d v="2023-08-14T00:00:00"/>
    <n v="921"/>
    <n v="7"/>
    <x v="1"/>
    <s v="Monday"/>
    <x v="4"/>
    <n v="2"/>
    <n v="105.97"/>
    <n v="211.94"/>
    <x v="1"/>
    <x v="0"/>
  </r>
  <r>
    <s v="CUS-9666-XY"/>
    <x v="1"/>
    <x v="1"/>
    <x v="2"/>
    <d v="2024-01-04T00:00:00"/>
    <n v="970"/>
    <n v="9"/>
    <x v="1"/>
    <s v="Thursday"/>
    <x v="4"/>
    <n v="1"/>
    <n v="236.14"/>
    <n v="236.14"/>
    <x v="1"/>
    <x v="0"/>
  </r>
  <r>
    <s v="CUS-3558-XY"/>
    <x v="3"/>
    <x v="0"/>
    <x v="3"/>
    <d v="2023-07-18T00:00:00"/>
    <n v="504"/>
    <n v="3"/>
    <x v="0"/>
    <s v="Tuesday"/>
    <x v="4"/>
    <n v="4"/>
    <n v="271.79000000000002"/>
    <n v="1087.1600000000001"/>
    <x v="0"/>
    <x v="1"/>
  </r>
  <r>
    <s v="CUS-8849-KL"/>
    <x v="4"/>
    <x v="0"/>
    <x v="4"/>
    <d v="2023-12-07T00:00:00"/>
    <n v="301"/>
    <n v="3"/>
    <x v="0"/>
    <s v="Thursday"/>
    <x v="0"/>
    <n v="1"/>
    <n v="231.93"/>
    <n v="231.93"/>
    <x v="1"/>
    <x v="1"/>
  </r>
  <r>
    <s v="CUS-3047-MN"/>
    <x v="0"/>
    <x v="0"/>
    <x v="10"/>
    <d v="2023-04-04T00:00:00"/>
    <n v="137"/>
    <n v="7"/>
    <x v="1"/>
    <s v="Tuesday"/>
    <x v="0"/>
    <n v="3"/>
    <n v="288.92"/>
    <n v="866.76"/>
    <x v="0"/>
    <x v="0"/>
  </r>
  <r>
    <s v="CUS-3747-XY"/>
    <x v="2"/>
    <x v="0"/>
    <x v="11"/>
    <d v="2023-10-09T00:00:00"/>
    <n v="871"/>
    <n v="4"/>
    <x v="0"/>
    <s v="Monday"/>
    <x v="2"/>
    <n v="2"/>
    <n v="317.81"/>
    <n v="635.62"/>
    <x v="0"/>
    <x v="0"/>
  </r>
  <r>
    <s v="CUS-1189-MN"/>
    <x v="2"/>
    <x v="0"/>
    <x v="3"/>
    <d v="2023-07-21T00:00:00"/>
    <n v="287"/>
    <n v="8"/>
    <x v="1"/>
    <s v="Friday"/>
    <x v="0"/>
    <n v="3"/>
    <n v="54.47"/>
    <n v="163.41"/>
    <x v="1"/>
    <x v="0"/>
  </r>
  <r>
    <s v="CUS-3734-AB"/>
    <x v="3"/>
    <x v="0"/>
    <x v="7"/>
    <d v="2023-09-27T00:00:00"/>
    <n v="156"/>
    <n v="7"/>
    <x v="1"/>
    <s v="Wednesday"/>
    <x v="0"/>
    <n v="2"/>
    <n v="258.83999999999997"/>
    <n v="517.67999999999995"/>
    <x v="0"/>
    <x v="1"/>
  </r>
  <r>
    <s v="CUS-4005-XY"/>
    <x v="4"/>
    <x v="0"/>
    <x v="2"/>
    <d v="2023-01-28T00:00:00"/>
    <n v="119"/>
    <n v="5"/>
    <x v="0"/>
    <s v="Saturday"/>
    <x v="0"/>
    <n v="1"/>
    <n v="483.57"/>
    <n v="483.57"/>
    <x v="0"/>
    <x v="1"/>
  </r>
  <r>
    <s v="CUS-5658-MN"/>
    <x v="2"/>
    <x v="0"/>
    <x v="8"/>
    <d v="2023-03-02T00:00:00"/>
    <n v="372"/>
    <n v="7"/>
    <x v="1"/>
    <s v="Thursday"/>
    <x v="2"/>
    <n v="3"/>
    <n v="283.56"/>
    <n v="850.68"/>
    <x v="0"/>
    <x v="0"/>
  </r>
  <r>
    <s v="CUS-2899-KL"/>
    <x v="4"/>
    <x v="0"/>
    <x v="5"/>
    <d v="2023-02-21T00:00:00"/>
    <n v="218"/>
    <n v="3"/>
    <x v="0"/>
    <s v="Tuesday"/>
    <x v="2"/>
    <n v="3"/>
    <n v="354.89"/>
    <n v="1064.67"/>
    <x v="3"/>
    <x v="0"/>
  </r>
  <r>
    <s v="CUS-8734-AB"/>
    <x v="1"/>
    <x v="0"/>
    <x v="7"/>
    <d v="2023-09-10T00:00:00"/>
    <n v="682"/>
    <n v="2"/>
    <x v="2"/>
    <s v="Sunday"/>
    <x v="4"/>
    <n v="1"/>
    <n v="190.34"/>
    <n v="190.34"/>
    <x v="0"/>
    <x v="0"/>
  </r>
  <r>
    <s v="CUS-2267-AB"/>
    <x v="0"/>
    <x v="0"/>
    <x v="0"/>
    <d v="2023-11-11T00:00:00"/>
    <n v="615"/>
    <n v="6"/>
    <x v="0"/>
    <s v="Saturday"/>
    <x v="4"/>
    <n v="3"/>
    <n v="398.3"/>
    <n v="1194.9000000000001"/>
    <x v="2"/>
    <x v="1"/>
  </r>
  <r>
    <s v="CUS-2528-MN"/>
    <x v="0"/>
    <x v="0"/>
    <x v="11"/>
    <d v="2023-10-03T00:00:00"/>
    <n v="320"/>
    <n v="2"/>
    <x v="2"/>
    <s v="Tuesday"/>
    <x v="0"/>
    <n v="4"/>
    <n v="397.81"/>
    <n v="1591.24"/>
    <x v="1"/>
    <x v="1"/>
  </r>
  <r>
    <s v="CUS-4556-XY"/>
    <x v="3"/>
    <x v="0"/>
    <x v="2"/>
    <d v="2023-01-15T00:00:00"/>
    <n v="625"/>
    <n v="3"/>
    <x v="0"/>
    <s v="Sunday"/>
    <x v="2"/>
    <n v="2"/>
    <n v="284.58"/>
    <n v="569.16"/>
    <x v="0"/>
    <x v="1"/>
  </r>
  <r>
    <s v="CUS-4890-XY"/>
    <x v="4"/>
    <x v="0"/>
    <x v="0"/>
    <d v="2023-11-19T00:00:00"/>
    <n v="614"/>
    <n v="6"/>
    <x v="0"/>
    <s v="Sunday"/>
    <x v="4"/>
    <n v="2"/>
    <n v="489.21"/>
    <n v="978.42"/>
    <x v="0"/>
    <x v="1"/>
  </r>
  <r>
    <s v="CUS-9838-AB"/>
    <x v="1"/>
    <x v="0"/>
    <x v="1"/>
    <d v="2023-05-15T00:00:00"/>
    <n v="827"/>
    <n v="5"/>
    <x v="0"/>
    <s v="Monday"/>
    <x v="1"/>
    <n v="2"/>
    <n v="106.5"/>
    <n v="213"/>
    <x v="3"/>
    <x v="1"/>
  </r>
  <r>
    <s v="CUS-6393-MN"/>
    <x v="1"/>
    <x v="0"/>
    <x v="6"/>
    <d v="2023-06-02T00:00:00"/>
    <n v="840"/>
    <n v="8"/>
    <x v="1"/>
    <s v="Friday"/>
    <x v="1"/>
    <n v="4"/>
    <n v="57.63"/>
    <n v="230.52"/>
    <x v="1"/>
    <x v="1"/>
  </r>
  <r>
    <s v="CUS-9792-XY"/>
    <x v="0"/>
    <x v="0"/>
    <x v="5"/>
    <d v="2023-02-17T00:00:00"/>
    <n v="435"/>
    <n v="9"/>
    <x v="1"/>
    <s v="Friday"/>
    <x v="2"/>
    <n v="2"/>
    <n v="396.57"/>
    <n v="793.14"/>
    <x v="2"/>
    <x v="1"/>
  </r>
  <r>
    <s v="CUS-9433-KL"/>
    <x v="4"/>
    <x v="0"/>
    <x v="7"/>
    <d v="2023-09-30T00:00:00"/>
    <n v="797"/>
    <n v="3"/>
    <x v="0"/>
    <s v="Saturday"/>
    <x v="2"/>
    <n v="1"/>
    <n v="413.22"/>
    <n v="413.22"/>
    <x v="0"/>
    <x v="1"/>
  </r>
  <r>
    <s v="CUS-8513-MN"/>
    <x v="4"/>
    <x v="0"/>
    <x v="8"/>
    <d v="2023-03-11T00:00:00"/>
    <n v="154"/>
    <n v="3"/>
    <x v="0"/>
    <s v="Saturday"/>
    <x v="4"/>
    <n v="3"/>
    <n v="104.09"/>
    <n v="312.27"/>
    <x v="2"/>
    <x v="1"/>
  </r>
  <r>
    <s v="CUS-3612-XY"/>
    <x v="3"/>
    <x v="0"/>
    <x v="3"/>
    <d v="2023-07-28T00:00:00"/>
    <n v="599"/>
    <n v="3"/>
    <x v="0"/>
    <s v="Friday"/>
    <x v="1"/>
    <n v="4"/>
    <n v="169.51"/>
    <n v="678.04"/>
    <x v="2"/>
    <x v="1"/>
  </r>
  <r>
    <s v="CUS-8041-MN"/>
    <x v="4"/>
    <x v="0"/>
    <x v="0"/>
    <d v="2023-11-09T00:00:00"/>
    <n v="999"/>
    <n v="6"/>
    <x v="0"/>
    <s v="Thursday"/>
    <x v="2"/>
    <n v="2"/>
    <n v="57.9"/>
    <n v="115.8"/>
    <x v="3"/>
    <x v="1"/>
  </r>
  <r>
    <s v="CUS-7235-MN"/>
    <x v="0"/>
    <x v="0"/>
    <x v="5"/>
    <d v="2023-02-03T00:00:00"/>
    <n v="987"/>
    <n v="1"/>
    <x v="2"/>
    <s v="Friday"/>
    <x v="0"/>
    <n v="1"/>
    <n v="181.99"/>
    <n v="181.99"/>
    <x v="3"/>
    <x v="1"/>
  </r>
  <r>
    <s v="CUS-6486-KL"/>
    <x v="0"/>
    <x v="0"/>
    <x v="3"/>
    <d v="2023-07-22T00:00:00"/>
    <n v="865"/>
    <n v="7"/>
    <x v="1"/>
    <s v="Saturday"/>
    <x v="3"/>
    <n v="3"/>
    <n v="397.91"/>
    <n v="1193.73"/>
    <x v="0"/>
    <x v="1"/>
  </r>
  <r>
    <s v="CUS-8099-XY"/>
    <x v="1"/>
    <x v="0"/>
    <x v="8"/>
    <d v="2023-03-28T00:00:00"/>
    <n v="635"/>
    <n v="1"/>
    <x v="2"/>
    <s v="Tuesday"/>
    <x v="1"/>
    <n v="3"/>
    <n v="283.08"/>
    <n v="849.24"/>
    <x v="3"/>
    <x v="1"/>
  </r>
  <r>
    <s v="CUS-1775-KL"/>
    <x v="3"/>
    <x v="0"/>
    <x v="1"/>
    <d v="2023-05-11T00:00:00"/>
    <n v="261"/>
    <n v="5"/>
    <x v="0"/>
    <s v="Thursday"/>
    <x v="2"/>
    <n v="4"/>
    <n v="206.64"/>
    <n v="826.56"/>
    <x v="3"/>
    <x v="1"/>
  </r>
  <r>
    <s v="CUS-9226-XY"/>
    <x v="0"/>
    <x v="0"/>
    <x v="6"/>
    <d v="2023-06-30T00:00:00"/>
    <n v="769"/>
    <n v="8"/>
    <x v="1"/>
    <s v="Friday"/>
    <x v="1"/>
    <n v="4"/>
    <n v="217.28"/>
    <n v="869.12"/>
    <x v="3"/>
    <x v="1"/>
  </r>
  <r>
    <s v="CUS-4152-KL"/>
    <x v="2"/>
    <x v="0"/>
    <x v="1"/>
    <d v="2023-05-14T00:00:00"/>
    <n v="693"/>
    <n v="4"/>
    <x v="0"/>
    <s v="Sunday"/>
    <x v="4"/>
    <n v="4"/>
    <n v="50.61"/>
    <n v="202.44"/>
    <x v="1"/>
    <x v="1"/>
  </r>
  <r>
    <s v="CUS-2585-AB"/>
    <x v="3"/>
    <x v="0"/>
    <x v="9"/>
    <d v="2023-08-30T00:00:00"/>
    <n v="258"/>
    <n v="5"/>
    <x v="0"/>
    <s v="Wednesday"/>
    <x v="4"/>
    <n v="1"/>
    <n v="184.91"/>
    <n v="184.91"/>
    <x v="2"/>
    <x v="1"/>
  </r>
  <r>
    <s v="CUS-4943-KL"/>
    <x v="2"/>
    <x v="0"/>
    <x v="6"/>
    <d v="2023-06-29T00:00:00"/>
    <n v="287"/>
    <n v="4"/>
    <x v="0"/>
    <s v="Thursday"/>
    <x v="4"/>
    <n v="1"/>
    <n v="340.91"/>
    <n v="340.91"/>
    <x v="3"/>
    <x v="1"/>
  </r>
  <r>
    <s v="CUS-8555-MN"/>
    <x v="3"/>
    <x v="0"/>
    <x v="9"/>
    <d v="2023-08-06T00:00:00"/>
    <n v="159"/>
    <n v="4"/>
    <x v="0"/>
    <s v="Sunday"/>
    <x v="2"/>
    <n v="4"/>
    <n v="488.39"/>
    <n v="1953.56"/>
    <x v="2"/>
    <x v="1"/>
  </r>
  <r>
    <s v="CUS-4073-AB"/>
    <x v="4"/>
    <x v="0"/>
    <x v="11"/>
    <d v="2023-10-04T00:00:00"/>
    <n v="916"/>
    <n v="8"/>
    <x v="1"/>
    <s v="Wednesday"/>
    <x v="2"/>
    <n v="2"/>
    <n v="431.18"/>
    <n v="862.36"/>
    <x v="1"/>
    <x v="1"/>
  </r>
  <r>
    <s v="CUS-2021-KL"/>
    <x v="2"/>
    <x v="0"/>
    <x v="3"/>
    <d v="2023-07-25T00:00:00"/>
    <n v="418"/>
    <n v="2"/>
    <x v="2"/>
    <s v="Tuesday"/>
    <x v="1"/>
    <n v="3"/>
    <n v="60.62"/>
    <n v="181.86"/>
    <x v="1"/>
    <x v="1"/>
  </r>
  <r>
    <s v="CUS-4843-XY"/>
    <x v="0"/>
    <x v="0"/>
    <x v="9"/>
    <d v="2023-08-04T00:00:00"/>
    <n v="977"/>
    <n v="1"/>
    <x v="2"/>
    <s v="Friday"/>
    <x v="2"/>
    <n v="3"/>
    <n v="454.35"/>
    <n v="1363.05"/>
    <x v="3"/>
    <x v="1"/>
  </r>
  <r>
    <s v="CUS-8989-MN"/>
    <x v="4"/>
    <x v="0"/>
    <x v="3"/>
    <d v="2023-07-29T00:00:00"/>
    <n v="310"/>
    <n v="3"/>
    <x v="0"/>
    <s v="Saturday"/>
    <x v="1"/>
    <n v="1"/>
    <n v="402.44"/>
    <n v="402.44"/>
    <x v="2"/>
    <x v="1"/>
  </r>
  <r>
    <s v="CUS-7873-KL"/>
    <x v="1"/>
    <x v="0"/>
    <x v="1"/>
    <d v="2023-05-28T00:00:00"/>
    <n v="505"/>
    <n v="9"/>
    <x v="1"/>
    <s v="Sunday"/>
    <x v="0"/>
    <n v="3"/>
    <n v="401.17"/>
    <n v="1203.51"/>
    <x v="3"/>
    <x v="1"/>
  </r>
  <r>
    <s v="CUS-6675-AB"/>
    <x v="2"/>
    <x v="0"/>
    <x v="1"/>
    <d v="2023-05-08T00:00:00"/>
    <n v="763"/>
    <n v="4"/>
    <x v="0"/>
    <s v="Monday"/>
    <x v="3"/>
    <n v="2"/>
    <n v="256.10000000000002"/>
    <n v="512.20000000000005"/>
    <x v="0"/>
    <x v="1"/>
  </r>
  <r>
    <s v="CUS-1161-MN"/>
    <x v="0"/>
    <x v="0"/>
    <x v="0"/>
    <d v="2023-11-30T00:00:00"/>
    <n v="208"/>
    <n v="5"/>
    <x v="0"/>
    <s v="Thursday"/>
    <x v="0"/>
    <n v="3"/>
    <n v="229.1"/>
    <n v="687.3"/>
    <x v="2"/>
    <x v="1"/>
  </r>
  <r>
    <s v="CUS-5297-MN"/>
    <x v="3"/>
    <x v="0"/>
    <x v="9"/>
    <d v="2023-08-12T00:00:00"/>
    <n v="175"/>
    <n v="2"/>
    <x v="2"/>
    <s v="Saturday"/>
    <x v="1"/>
    <n v="1"/>
    <n v="186.31"/>
    <n v="186.31"/>
    <x v="0"/>
    <x v="1"/>
  </r>
  <r>
    <s v="CUS-1995-KL"/>
    <x v="3"/>
    <x v="0"/>
    <x v="10"/>
    <d v="2023-04-04T00:00:00"/>
    <n v="641"/>
    <n v="4"/>
    <x v="0"/>
    <s v="Tuesday"/>
    <x v="4"/>
    <n v="1"/>
    <n v="79.56"/>
    <n v="79.56"/>
    <x v="0"/>
    <x v="1"/>
  </r>
  <r>
    <s v="CUS-8629-MN"/>
    <x v="3"/>
    <x v="0"/>
    <x v="3"/>
    <d v="2023-07-03T00:00:00"/>
    <n v="413"/>
    <n v="2"/>
    <x v="2"/>
    <s v="Monday"/>
    <x v="3"/>
    <n v="2"/>
    <n v="152.71"/>
    <n v="305.42"/>
    <x v="0"/>
    <x v="1"/>
  </r>
  <r>
    <s v="CUS-2016-MN"/>
    <x v="1"/>
    <x v="0"/>
    <x v="1"/>
    <d v="2023-05-03T00:00:00"/>
    <n v="216"/>
    <n v="2"/>
    <x v="2"/>
    <s v="Wednesday"/>
    <x v="1"/>
    <n v="2"/>
    <n v="160.97"/>
    <n v="321.94"/>
    <x v="0"/>
    <x v="1"/>
  </r>
  <r>
    <s v="CUS-8869-XY"/>
    <x v="0"/>
    <x v="0"/>
    <x v="4"/>
    <d v="2023-12-11T00:00:00"/>
    <n v="967"/>
    <n v="4"/>
    <x v="0"/>
    <s v="Monday"/>
    <x v="0"/>
    <n v="3"/>
    <n v="267.83"/>
    <n v="803.49"/>
    <x v="3"/>
    <x v="1"/>
  </r>
  <r>
    <s v="CUS-7439-KL"/>
    <x v="4"/>
    <x v="0"/>
    <x v="2"/>
    <d v="2023-01-09T00:00:00"/>
    <n v="803"/>
    <n v="6"/>
    <x v="0"/>
    <s v="Monday"/>
    <x v="0"/>
    <n v="3"/>
    <n v="386.35"/>
    <n v="1159.05"/>
    <x v="0"/>
    <x v="1"/>
  </r>
  <r>
    <s v="CUS-8892-KL"/>
    <x v="1"/>
    <x v="0"/>
    <x v="8"/>
    <d v="2023-03-31T00:00:00"/>
    <n v="118"/>
    <n v="7"/>
    <x v="1"/>
    <s v="Friday"/>
    <x v="3"/>
    <n v="1"/>
    <n v="263.20999999999998"/>
    <n v="263.20999999999998"/>
    <x v="3"/>
    <x v="1"/>
  </r>
  <r>
    <s v="CUS-7863-XY"/>
    <x v="3"/>
    <x v="0"/>
    <x v="1"/>
    <d v="2023-05-17T00:00:00"/>
    <n v="531"/>
    <n v="3"/>
    <x v="0"/>
    <s v="Wednesday"/>
    <x v="2"/>
    <n v="2"/>
    <n v="76.03"/>
    <n v="152.06"/>
    <x v="0"/>
    <x v="1"/>
  </r>
  <r>
    <s v="CUS-8916-XY"/>
    <x v="1"/>
    <x v="0"/>
    <x v="3"/>
    <d v="2023-07-01T00:00:00"/>
    <n v="784"/>
    <n v="3"/>
    <x v="0"/>
    <s v="Saturday"/>
    <x v="1"/>
    <n v="2"/>
    <n v="481.01"/>
    <n v="962.02"/>
    <x v="0"/>
    <x v="1"/>
  </r>
  <r>
    <s v="CUS-9529-XY"/>
    <x v="1"/>
    <x v="0"/>
    <x v="0"/>
    <d v="2023-11-13T00:00:00"/>
    <n v="839"/>
    <n v="6"/>
    <x v="0"/>
    <s v="Monday"/>
    <x v="1"/>
    <n v="2"/>
    <n v="474.23"/>
    <n v="948.46"/>
    <x v="1"/>
    <x v="1"/>
  </r>
  <r>
    <s v="CUS-1878-AB"/>
    <x v="1"/>
    <x v="0"/>
    <x v="5"/>
    <d v="2023-02-05T00:00:00"/>
    <n v="449"/>
    <n v="3"/>
    <x v="0"/>
    <s v="Sunday"/>
    <x v="1"/>
    <n v="3"/>
    <n v="403.34"/>
    <n v="1210.02"/>
    <x v="2"/>
    <x v="1"/>
  </r>
  <r>
    <s v="CUS-5887-MN"/>
    <x v="2"/>
    <x v="0"/>
    <x v="11"/>
    <d v="2023-10-24T00:00:00"/>
    <n v="282"/>
    <n v="2"/>
    <x v="2"/>
    <s v="Tuesday"/>
    <x v="3"/>
    <n v="2"/>
    <n v="496.1"/>
    <n v="992.2"/>
    <x v="3"/>
    <x v="1"/>
  </r>
  <r>
    <s v="CUS-5859-AB"/>
    <x v="3"/>
    <x v="0"/>
    <x v="2"/>
    <d v="2023-01-29T00:00:00"/>
    <n v="212"/>
    <n v="8"/>
    <x v="1"/>
    <s v="Sunday"/>
    <x v="2"/>
    <n v="1"/>
    <n v="295.02"/>
    <n v="295.02"/>
    <x v="0"/>
    <x v="1"/>
  </r>
  <r>
    <s v="CUS-7331-KL"/>
    <x v="1"/>
    <x v="0"/>
    <x v="0"/>
    <d v="2023-11-09T00:00:00"/>
    <n v="282"/>
    <n v="5"/>
    <x v="0"/>
    <s v="Thursday"/>
    <x v="2"/>
    <n v="1"/>
    <n v="483.25"/>
    <n v="483.25"/>
    <x v="3"/>
    <x v="1"/>
  </r>
  <r>
    <s v="CUS-9571-KL"/>
    <x v="2"/>
    <x v="0"/>
    <x v="2"/>
    <d v="2023-01-20T00:00:00"/>
    <n v="580"/>
    <n v="1"/>
    <x v="2"/>
    <s v="Friday"/>
    <x v="2"/>
    <n v="3"/>
    <n v="84.02"/>
    <n v="252.06"/>
    <x v="3"/>
    <x v="1"/>
  </r>
  <r>
    <s v="CUS-9684-MN"/>
    <x v="3"/>
    <x v="0"/>
    <x v="2"/>
    <d v="2023-01-10T00:00:00"/>
    <n v="245"/>
    <n v="3"/>
    <x v="0"/>
    <s v="Tuesday"/>
    <x v="1"/>
    <n v="4"/>
    <n v="214.56"/>
    <n v="858.24"/>
    <x v="2"/>
    <x v="1"/>
  </r>
  <r>
    <s v="CUS-8208-KL"/>
    <x v="3"/>
    <x v="0"/>
    <x v="7"/>
    <d v="2023-09-20T00:00:00"/>
    <n v="930"/>
    <n v="8"/>
    <x v="1"/>
    <s v="Wednesday"/>
    <x v="2"/>
    <n v="3"/>
    <n v="151.41999999999999"/>
    <n v="454.26"/>
    <x v="1"/>
    <x v="1"/>
  </r>
  <r>
    <s v="CUS-6276-KL"/>
    <x v="3"/>
    <x v="1"/>
    <x v="2"/>
    <d v="2024-01-03T00:00:00"/>
    <n v="727"/>
    <n v="4"/>
    <x v="0"/>
    <s v="Wednesday"/>
    <x v="0"/>
    <n v="4"/>
    <n v="138.12"/>
    <n v="552.48"/>
    <x v="3"/>
    <x v="1"/>
  </r>
  <r>
    <s v="CUS-3062-KL"/>
    <x v="1"/>
    <x v="0"/>
    <x v="4"/>
    <d v="2023-12-01T00:00:00"/>
    <n v="212"/>
    <n v="7"/>
    <x v="1"/>
    <s v="Friday"/>
    <x v="2"/>
    <n v="2"/>
    <n v="113.36"/>
    <n v="226.72"/>
    <x v="3"/>
    <x v="1"/>
  </r>
  <r>
    <s v="CUS-1064-KL"/>
    <x v="2"/>
    <x v="0"/>
    <x v="9"/>
    <d v="2023-08-01T00:00:00"/>
    <n v="862"/>
    <n v="2"/>
    <x v="2"/>
    <s v="Tuesday"/>
    <x v="1"/>
    <n v="3"/>
    <n v="330.09"/>
    <n v="990.27"/>
    <x v="0"/>
    <x v="1"/>
  </r>
  <r>
    <s v="CUS-9006-XY"/>
    <x v="4"/>
    <x v="0"/>
    <x v="4"/>
    <d v="2023-12-08T00:00:00"/>
    <n v="575"/>
    <n v="7"/>
    <x v="1"/>
    <s v="Friday"/>
    <x v="1"/>
    <n v="1"/>
    <n v="401.59"/>
    <n v="401.59"/>
    <x v="3"/>
    <x v="1"/>
  </r>
  <r>
    <s v="CUS-3568-AB"/>
    <x v="4"/>
    <x v="0"/>
    <x v="2"/>
    <d v="2023-01-07T00:00:00"/>
    <n v="862"/>
    <n v="5"/>
    <x v="0"/>
    <s v="Saturday"/>
    <x v="3"/>
    <n v="2"/>
    <n v="310.23"/>
    <n v="620.46"/>
    <x v="3"/>
    <x v="1"/>
  </r>
  <r>
    <s v="CUS-6463-KL"/>
    <x v="1"/>
    <x v="0"/>
    <x v="4"/>
    <d v="2023-12-27T00:00:00"/>
    <n v="402"/>
    <n v="5"/>
    <x v="0"/>
    <s v="Wednesday"/>
    <x v="2"/>
    <n v="1"/>
    <n v="116.13"/>
    <n v="116.13"/>
    <x v="3"/>
    <x v="1"/>
  </r>
  <r>
    <s v="CUS-3027-MN"/>
    <x v="1"/>
    <x v="0"/>
    <x v="3"/>
    <d v="2023-07-05T00:00:00"/>
    <n v="924"/>
    <n v="6"/>
    <x v="0"/>
    <s v="Wednesday"/>
    <x v="1"/>
    <n v="2"/>
    <n v="415.01"/>
    <n v="830.02"/>
    <x v="3"/>
    <x v="1"/>
  </r>
  <r>
    <s v="CUS-3695-XY"/>
    <x v="2"/>
    <x v="0"/>
    <x v="7"/>
    <d v="2023-09-30T00:00:00"/>
    <n v="217"/>
    <n v="9"/>
    <x v="1"/>
    <s v="Saturday"/>
    <x v="2"/>
    <n v="3"/>
    <n v="336.18"/>
    <n v="1008.54"/>
    <x v="0"/>
    <x v="1"/>
  </r>
  <r>
    <s v="CUS-6258-XY"/>
    <x v="3"/>
    <x v="0"/>
    <x v="0"/>
    <d v="2023-11-02T00:00:00"/>
    <n v="912"/>
    <n v="6"/>
    <x v="0"/>
    <s v="Thursday"/>
    <x v="4"/>
    <n v="4"/>
    <n v="224.67"/>
    <n v="898.68"/>
    <x v="2"/>
    <x v="1"/>
  </r>
  <r>
    <s v="CUS-6618-AB"/>
    <x v="0"/>
    <x v="0"/>
    <x v="7"/>
    <d v="2023-09-28T00:00:00"/>
    <n v="260"/>
    <n v="8"/>
    <x v="1"/>
    <s v="Thursday"/>
    <x v="3"/>
    <n v="2"/>
    <n v="353.36"/>
    <n v="706.72"/>
    <x v="0"/>
    <x v="1"/>
  </r>
  <r>
    <s v="CUS-7736-KL"/>
    <x v="1"/>
    <x v="0"/>
    <x v="3"/>
    <d v="2023-07-22T00:00:00"/>
    <n v="500"/>
    <n v="7"/>
    <x v="1"/>
    <s v="Saturday"/>
    <x v="4"/>
    <n v="4"/>
    <n v="166.96"/>
    <n v="667.84"/>
    <x v="2"/>
    <x v="1"/>
  </r>
  <r>
    <s v="CUS-1391-MN"/>
    <x v="3"/>
    <x v="0"/>
    <x v="3"/>
    <d v="2023-07-02T00:00:00"/>
    <n v="297"/>
    <n v="9"/>
    <x v="1"/>
    <s v="Sunday"/>
    <x v="1"/>
    <n v="2"/>
    <n v="205.34"/>
    <n v="410.68"/>
    <x v="3"/>
    <x v="1"/>
  </r>
  <r>
    <s v="CUS-6892-AB"/>
    <x v="3"/>
    <x v="0"/>
    <x v="0"/>
    <d v="2023-11-07T00:00:00"/>
    <n v="359"/>
    <n v="4"/>
    <x v="0"/>
    <s v="Tuesday"/>
    <x v="2"/>
    <n v="1"/>
    <n v="462.87"/>
    <n v="462.87"/>
    <x v="1"/>
    <x v="1"/>
  </r>
  <r>
    <s v="CUS-4561-AB"/>
    <x v="3"/>
    <x v="0"/>
    <x v="8"/>
    <d v="2023-03-18T00:00:00"/>
    <n v="759"/>
    <n v="2"/>
    <x v="2"/>
    <s v="Saturday"/>
    <x v="4"/>
    <n v="1"/>
    <n v="180.73"/>
    <n v="180.73"/>
    <x v="3"/>
    <x v="1"/>
  </r>
  <r>
    <s v="CUS-7184-MN"/>
    <x v="3"/>
    <x v="0"/>
    <x v="4"/>
    <d v="2023-12-27T00:00:00"/>
    <n v="851"/>
    <n v="7"/>
    <x v="1"/>
    <s v="Wednesday"/>
    <x v="1"/>
    <n v="2"/>
    <n v="261.49"/>
    <n v="522.98"/>
    <x v="2"/>
    <x v="1"/>
  </r>
  <r>
    <s v="CUS-4099-AB"/>
    <x v="0"/>
    <x v="0"/>
    <x v="7"/>
    <d v="2023-09-23T00:00:00"/>
    <n v="146"/>
    <n v="6"/>
    <x v="0"/>
    <s v="Saturday"/>
    <x v="4"/>
    <n v="4"/>
    <n v="450.56"/>
    <n v="1802.24"/>
    <x v="3"/>
    <x v="1"/>
  </r>
  <r>
    <s v="CUS-7278-MN"/>
    <x v="2"/>
    <x v="0"/>
    <x v="8"/>
    <d v="2023-03-15T00:00:00"/>
    <n v="498"/>
    <n v="1"/>
    <x v="2"/>
    <s v="Wednesday"/>
    <x v="2"/>
    <n v="3"/>
    <n v="368.47"/>
    <n v="1105.4100000000001"/>
    <x v="0"/>
    <x v="1"/>
  </r>
  <r>
    <s v="CUS-9392-XY"/>
    <x v="2"/>
    <x v="0"/>
    <x v="11"/>
    <d v="2023-10-05T00:00:00"/>
    <n v="809"/>
    <n v="9"/>
    <x v="1"/>
    <s v="Thursday"/>
    <x v="4"/>
    <n v="3"/>
    <n v="77.989999999999995"/>
    <n v="233.97"/>
    <x v="0"/>
    <x v="1"/>
  </r>
  <r>
    <s v="CUS-4104-KL"/>
    <x v="1"/>
    <x v="0"/>
    <x v="3"/>
    <d v="2023-07-22T00:00:00"/>
    <n v="658"/>
    <n v="9"/>
    <x v="1"/>
    <s v="Saturday"/>
    <x v="3"/>
    <n v="1"/>
    <n v="116.29"/>
    <n v="116.29"/>
    <x v="1"/>
    <x v="1"/>
  </r>
  <r>
    <s v="CUS-8215-AB"/>
    <x v="1"/>
    <x v="0"/>
    <x v="7"/>
    <d v="2023-09-18T00:00:00"/>
    <n v="177"/>
    <n v="2"/>
    <x v="2"/>
    <s v="Monday"/>
    <x v="3"/>
    <n v="3"/>
    <n v="53.53"/>
    <n v="160.59"/>
    <x v="3"/>
    <x v="1"/>
  </r>
  <r>
    <s v="CUS-3454-AB"/>
    <x v="4"/>
    <x v="0"/>
    <x v="11"/>
    <d v="2023-10-11T00:00:00"/>
    <n v="223"/>
    <n v="3"/>
    <x v="0"/>
    <s v="Wednesday"/>
    <x v="4"/>
    <n v="1"/>
    <n v="333.91"/>
    <n v="333.91"/>
    <x v="2"/>
    <x v="1"/>
  </r>
  <r>
    <s v="CUS-9996-XY"/>
    <x v="1"/>
    <x v="0"/>
    <x v="5"/>
    <d v="2023-02-06T00:00:00"/>
    <n v="174"/>
    <n v="5"/>
    <x v="0"/>
    <s v="Monday"/>
    <x v="4"/>
    <n v="3"/>
    <n v="251.45"/>
    <n v="754.35"/>
    <x v="2"/>
    <x v="1"/>
  </r>
  <r>
    <s v="CUS-3731-XY"/>
    <x v="3"/>
    <x v="0"/>
    <x v="3"/>
    <d v="2023-07-09T00:00:00"/>
    <n v="970"/>
    <n v="5"/>
    <x v="0"/>
    <s v="Sunday"/>
    <x v="4"/>
    <n v="2"/>
    <n v="110.42"/>
    <n v="220.84"/>
    <x v="3"/>
    <x v="1"/>
  </r>
  <r>
    <s v="CUS-9154-AB"/>
    <x v="1"/>
    <x v="0"/>
    <x v="4"/>
    <d v="2023-12-08T00:00:00"/>
    <n v="236"/>
    <n v="1"/>
    <x v="2"/>
    <s v="Friday"/>
    <x v="1"/>
    <n v="1"/>
    <n v="481.07"/>
    <n v="481.07"/>
    <x v="2"/>
    <x v="1"/>
  </r>
  <r>
    <s v="CUS-6056-XY"/>
    <x v="1"/>
    <x v="0"/>
    <x v="1"/>
    <d v="2023-05-06T00:00:00"/>
    <n v="701"/>
    <n v="8"/>
    <x v="1"/>
    <s v="Saturday"/>
    <x v="3"/>
    <n v="1"/>
    <n v="288.35000000000002"/>
    <n v="288.35000000000002"/>
    <x v="2"/>
    <x v="1"/>
  </r>
  <r>
    <s v="CUS-9110-MN"/>
    <x v="1"/>
    <x v="0"/>
    <x v="9"/>
    <d v="2023-08-13T00:00:00"/>
    <n v="499"/>
    <n v="8"/>
    <x v="1"/>
    <s v="Sunday"/>
    <x v="4"/>
    <n v="2"/>
    <n v="158.85"/>
    <n v="317.7"/>
    <x v="2"/>
    <x v="1"/>
  </r>
  <r>
    <s v="CUS-4840-XY"/>
    <x v="4"/>
    <x v="0"/>
    <x v="1"/>
    <d v="2023-05-19T00:00:00"/>
    <n v="936"/>
    <n v="4"/>
    <x v="0"/>
    <s v="Friday"/>
    <x v="0"/>
    <n v="1"/>
    <n v="275.27"/>
    <n v="275.27"/>
    <x v="3"/>
    <x v="1"/>
  </r>
  <r>
    <s v="CUS-2028-AB"/>
    <x v="4"/>
    <x v="0"/>
    <x v="6"/>
    <d v="2023-06-22T00:00:00"/>
    <n v="604"/>
    <n v="7"/>
    <x v="1"/>
    <s v="Thursday"/>
    <x v="1"/>
    <n v="3"/>
    <n v="355.83"/>
    <n v="1067.49"/>
    <x v="2"/>
    <x v="1"/>
  </r>
  <r>
    <s v="CUS-8385-AB"/>
    <x v="0"/>
    <x v="0"/>
    <x v="3"/>
    <d v="2023-07-23T00:00:00"/>
    <n v="599"/>
    <n v="3"/>
    <x v="0"/>
    <s v="Sunday"/>
    <x v="1"/>
    <n v="3"/>
    <n v="84.31"/>
    <n v="252.93"/>
    <x v="0"/>
    <x v="1"/>
  </r>
  <r>
    <s v="CUS-1502-MN"/>
    <x v="3"/>
    <x v="0"/>
    <x v="3"/>
    <d v="2023-07-26T00:00:00"/>
    <n v="672"/>
    <n v="6"/>
    <x v="0"/>
    <s v="Wednesday"/>
    <x v="0"/>
    <n v="1"/>
    <n v="173.62"/>
    <n v="173.62"/>
    <x v="1"/>
    <x v="1"/>
  </r>
  <r>
    <s v="CUS-7910-KL"/>
    <x v="3"/>
    <x v="0"/>
    <x v="8"/>
    <d v="2023-03-24T00:00:00"/>
    <n v="237"/>
    <n v="9"/>
    <x v="1"/>
    <s v="Friday"/>
    <x v="4"/>
    <n v="3"/>
    <n v="413.13"/>
    <n v="1239.3900000000001"/>
    <x v="2"/>
    <x v="1"/>
  </r>
  <r>
    <s v="CUS-7938-AB"/>
    <x v="4"/>
    <x v="0"/>
    <x v="7"/>
    <d v="2023-09-08T00:00:00"/>
    <n v="149"/>
    <n v="1"/>
    <x v="2"/>
    <s v="Friday"/>
    <x v="3"/>
    <n v="4"/>
    <n v="256.85000000000002"/>
    <n v="1027.4000000000001"/>
    <x v="0"/>
    <x v="1"/>
  </r>
  <r>
    <s v="CUS-5488-XY"/>
    <x v="3"/>
    <x v="0"/>
    <x v="5"/>
    <d v="2023-02-07T00:00:00"/>
    <n v="870"/>
    <n v="5"/>
    <x v="0"/>
    <s v="Tuesday"/>
    <x v="2"/>
    <n v="1"/>
    <n v="295.95999999999998"/>
    <n v="295.95999999999998"/>
    <x v="1"/>
    <x v="1"/>
  </r>
  <r>
    <s v="CUS-1206-AB"/>
    <x v="4"/>
    <x v="0"/>
    <x v="5"/>
    <d v="2023-02-24T00:00:00"/>
    <n v="718"/>
    <n v="4"/>
    <x v="0"/>
    <s v="Friday"/>
    <x v="3"/>
    <n v="2"/>
    <n v="244.77"/>
    <n v="489.54"/>
    <x v="3"/>
    <x v="1"/>
  </r>
  <r>
    <s v="CUS-6134-MN"/>
    <x v="2"/>
    <x v="0"/>
    <x v="2"/>
    <d v="2023-01-09T00:00:00"/>
    <n v="724"/>
    <n v="8"/>
    <x v="1"/>
    <s v="Monday"/>
    <x v="0"/>
    <n v="4"/>
    <n v="69.75"/>
    <n v="279"/>
    <x v="2"/>
    <x v="1"/>
  </r>
  <r>
    <s v="CUS-6977-KL"/>
    <x v="4"/>
    <x v="0"/>
    <x v="5"/>
    <d v="2023-02-13T00:00:00"/>
    <n v="961"/>
    <n v="1"/>
    <x v="2"/>
    <s v="Monday"/>
    <x v="0"/>
    <n v="1"/>
    <n v="124.59"/>
    <n v="124.59"/>
    <x v="1"/>
    <x v="1"/>
  </r>
  <r>
    <s v="CUS-8721-AB"/>
    <x v="4"/>
    <x v="0"/>
    <x v="3"/>
    <d v="2023-07-01T00:00:00"/>
    <n v="353"/>
    <n v="9"/>
    <x v="1"/>
    <s v="Saturday"/>
    <x v="0"/>
    <n v="2"/>
    <n v="250.49"/>
    <n v="500.98"/>
    <x v="0"/>
    <x v="1"/>
  </r>
  <r>
    <s v="CUS-8035-XY"/>
    <x v="3"/>
    <x v="0"/>
    <x v="9"/>
    <d v="2023-08-16T00:00:00"/>
    <n v="729"/>
    <n v="6"/>
    <x v="0"/>
    <s v="Wednesday"/>
    <x v="1"/>
    <n v="3"/>
    <n v="144.13"/>
    <n v="432.39"/>
    <x v="1"/>
    <x v="1"/>
  </r>
  <r>
    <s v="CUS-2484-KL"/>
    <x v="4"/>
    <x v="0"/>
    <x v="11"/>
    <d v="2023-10-21T00:00:00"/>
    <n v="809"/>
    <n v="4"/>
    <x v="0"/>
    <s v="Saturday"/>
    <x v="1"/>
    <n v="2"/>
    <n v="72.489999999999995"/>
    <n v="144.97999999999999"/>
    <x v="1"/>
    <x v="1"/>
  </r>
  <r>
    <s v="CUS-8858-XY"/>
    <x v="2"/>
    <x v="0"/>
    <x v="5"/>
    <d v="2023-02-17T00:00:00"/>
    <n v="948"/>
    <n v="9"/>
    <x v="1"/>
    <s v="Friday"/>
    <x v="2"/>
    <n v="4"/>
    <n v="429.64"/>
    <n v="1718.56"/>
    <x v="3"/>
    <x v="1"/>
  </r>
  <r>
    <s v="CUS-1863-MN"/>
    <x v="3"/>
    <x v="0"/>
    <x v="0"/>
    <d v="2023-11-12T00:00:00"/>
    <n v="976"/>
    <n v="5"/>
    <x v="0"/>
    <s v="Sunday"/>
    <x v="1"/>
    <n v="3"/>
    <n v="491.54"/>
    <n v="1474.62"/>
    <x v="3"/>
    <x v="1"/>
  </r>
  <r>
    <s v="CUS-3790-AB"/>
    <x v="1"/>
    <x v="0"/>
    <x v="11"/>
    <d v="2023-10-05T00:00:00"/>
    <n v="662"/>
    <n v="5"/>
    <x v="0"/>
    <s v="Thursday"/>
    <x v="3"/>
    <n v="1"/>
    <n v="406.91"/>
    <n v="406.91"/>
    <x v="3"/>
    <x v="1"/>
  </r>
  <r>
    <s v="CUS-8408-MN"/>
    <x v="2"/>
    <x v="0"/>
    <x v="6"/>
    <d v="2023-06-04T00:00:00"/>
    <n v="856"/>
    <n v="5"/>
    <x v="0"/>
    <s v="Sunday"/>
    <x v="3"/>
    <n v="3"/>
    <n v="434.2"/>
    <n v="1302.5999999999999"/>
    <x v="3"/>
    <x v="1"/>
  </r>
  <r>
    <s v="CUS-9755-XY"/>
    <x v="3"/>
    <x v="0"/>
    <x v="4"/>
    <d v="2023-12-08T00:00:00"/>
    <n v="525"/>
    <n v="1"/>
    <x v="2"/>
    <s v="Friday"/>
    <x v="0"/>
    <n v="1"/>
    <n v="158.88999999999999"/>
    <n v="158.88999999999999"/>
    <x v="0"/>
    <x v="1"/>
  </r>
  <r>
    <s v="CUS-6116-AB"/>
    <x v="2"/>
    <x v="0"/>
    <x v="4"/>
    <d v="2023-12-29T00:00:00"/>
    <n v="646"/>
    <n v="1"/>
    <x v="2"/>
    <s v="Friday"/>
    <x v="0"/>
    <n v="1"/>
    <n v="482.28"/>
    <n v="482.28"/>
    <x v="1"/>
    <x v="1"/>
  </r>
  <r>
    <s v="CUS-7019-KL"/>
    <x v="3"/>
    <x v="0"/>
    <x v="8"/>
    <d v="2023-03-24T00:00:00"/>
    <n v="401"/>
    <n v="8"/>
    <x v="1"/>
    <s v="Friday"/>
    <x v="0"/>
    <n v="2"/>
    <n v="138.62"/>
    <n v="277.24"/>
    <x v="0"/>
    <x v="1"/>
  </r>
  <r>
    <s v="CUS-2757-KL"/>
    <x v="0"/>
    <x v="0"/>
    <x v="1"/>
    <d v="2023-05-27T00:00:00"/>
    <n v="680"/>
    <n v="8"/>
    <x v="1"/>
    <s v="Saturday"/>
    <x v="3"/>
    <n v="2"/>
    <n v="478.14"/>
    <n v="956.28"/>
    <x v="2"/>
    <x v="1"/>
  </r>
  <r>
    <s v="CUS-8574-KL"/>
    <x v="0"/>
    <x v="0"/>
    <x v="4"/>
    <d v="2023-12-11T00:00:00"/>
    <n v="448"/>
    <n v="6"/>
    <x v="0"/>
    <s v="Monday"/>
    <x v="4"/>
    <n v="2"/>
    <n v="497.67"/>
    <n v="995.34"/>
    <x v="2"/>
    <x v="1"/>
  </r>
  <r>
    <s v="CUS-7374-MN"/>
    <x v="0"/>
    <x v="0"/>
    <x v="7"/>
    <d v="2023-09-25T00:00:00"/>
    <n v="931"/>
    <n v="4"/>
    <x v="0"/>
    <s v="Monday"/>
    <x v="2"/>
    <n v="4"/>
    <n v="370.28"/>
    <n v="1481.12"/>
    <x v="0"/>
    <x v="1"/>
  </r>
  <r>
    <s v="CUS-7892-AB"/>
    <x v="1"/>
    <x v="0"/>
    <x v="2"/>
    <d v="2023-01-20T00:00:00"/>
    <n v="148"/>
    <n v="2"/>
    <x v="2"/>
    <s v="Friday"/>
    <x v="3"/>
    <n v="4"/>
    <n v="491.51"/>
    <n v="1966.04"/>
    <x v="3"/>
    <x v="1"/>
  </r>
  <r>
    <s v="CUS-2678-AB"/>
    <x v="4"/>
    <x v="0"/>
    <x v="11"/>
    <d v="2023-10-15T00:00:00"/>
    <n v="173"/>
    <n v="2"/>
    <x v="2"/>
    <s v="Sunday"/>
    <x v="2"/>
    <n v="2"/>
    <n v="306.29000000000002"/>
    <n v="612.58000000000004"/>
    <x v="2"/>
    <x v="1"/>
  </r>
  <r>
    <s v="CUS-4242-AB"/>
    <x v="1"/>
    <x v="0"/>
    <x v="0"/>
    <d v="2023-11-08T00:00:00"/>
    <n v="803"/>
    <n v="9"/>
    <x v="1"/>
    <s v="Wednesday"/>
    <x v="1"/>
    <n v="4"/>
    <n v="166.79"/>
    <n v="667.16"/>
    <x v="0"/>
    <x v="1"/>
  </r>
  <r>
    <s v="CUS-5636-MN"/>
    <x v="1"/>
    <x v="0"/>
    <x v="11"/>
    <d v="2023-10-06T00:00:00"/>
    <n v="360"/>
    <n v="5"/>
    <x v="0"/>
    <s v="Friday"/>
    <x v="4"/>
    <n v="3"/>
    <n v="246.65"/>
    <n v="739.95"/>
    <x v="2"/>
    <x v="1"/>
  </r>
  <r>
    <s v="CUS-2059-MN"/>
    <x v="0"/>
    <x v="0"/>
    <x v="11"/>
    <d v="2023-10-23T00:00:00"/>
    <n v="455"/>
    <n v="4"/>
    <x v="0"/>
    <s v="Monday"/>
    <x v="1"/>
    <n v="3"/>
    <n v="317.10000000000002"/>
    <n v="951.3"/>
    <x v="2"/>
    <x v="1"/>
  </r>
  <r>
    <s v="CUS-7668-KL"/>
    <x v="1"/>
    <x v="0"/>
    <x v="11"/>
    <d v="2023-10-30T00:00:00"/>
    <n v="681"/>
    <n v="1"/>
    <x v="2"/>
    <s v="Monday"/>
    <x v="4"/>
    <n v="4"/>
    <n v="82.89"/>
    <n v="331.56"/>
    <x v="1"/>
    <x v="1"/>
  </r>
  <r>
    <s v="CUS-4157-MN"/>
    <x v="2"/>
    <x v="0"/>
    <x v="8"/>
    <d v="2023-03-17T00:00:00"/>
    <n v="701"/>
    <n v="7"/>
    <x v="1"/>
    <s v="Friday"/>
    <x v="2"/>
    <n v="4"/>
    <n v="330.05"/>
    <n v="1320.2"/>
    <x v="0"/>
    <x v="1"/>
  </r>
  <r>
    <s v="CUS-6915-AB"/>
    <x v="0"/>
    <x v="0"/>
    <x v="8"/>
    <d v="2023-03-31T00:00:00"/>
    <n v="359"/>
    <n v="3"/>
    <x v="0"/>
    <s v="Friday"/>
    <x v="1"/>
    <n v="3"/>
    <n v="491.53"/>
    <n v="1474.59"/>
    <x v="3"/>
    <x v="1"/>
  </r>
  <r>
    <s v="CUS-3693-XY"/>
    <x v="2"/>
    <x v="0"/>
    <x v="9"/>
    <d v="2023-08-26T00:00:00"/>
    <n v="737"/>
    <n v="6"/>
    <x v="0"/>
    <s v="Saturday"/>
    <x v="2"/>
    <n v="1"/>
    <n v="135.55000000000001"/>
    <n v="135.55000000000001"/>
    <x v="2"/>
    <x v="1"/>
  </r>
  <r>
    <s v="CUS-4627-MN"/>
    <x v="0"/>
    <x v="0"/>
    <x v="4"/>
    <d v="2023-12-03T00:00:00"/>
    <n v="842"/>
    <n v="5"/>
    <x v="0"/>
    <s v="Sunday"/>
    <x v="4"/>
    <n v="3"/>
    <n v="406.67"/>
    <n v="1220.01"/>
    <x v="3"/>
    <x v="1"/>
  </r>
  <r>
    <s v="CUS-6450-AB"/>
    <x v="3"/>
    <x v="0"/>
    <x v="1"/>
    <d v="2023-05-01T00:00:00"/>
    <n v="394"/>
    <n v="5"/>
    <x v="0"/>
    <s v="Monday"/>
    <x v="3"/>
    <n v="3"/>
    <n v="458.55"/>
    <n v="1375.65"/>
    <x v="0"/>
    <x v="1"/>
  </r>
  <r>
    <s v="CUS-2663-XY"/>
    <x v="1"/>
    <x v="0"/>
    <x v="9"/>
    <d v="2023-08-08T00:00:00"/>
    <n v="740"/>
    <n v="5"/>
    <x v="0"/>
    <s v="Tuesday"/>
    <x v="1"/>
    <n v="4"/>
    <n v="474.67"/>
    <n v="1898.68"/>
    <x v="1"/>
    <x v="1"/>
  </r>
  <r>
    <s v="CUS-6592-KL"/>
    <x v="4"/>
    <x v="0"/>
    <x v="7"/>
    <d v="2023-09-08T00:00:00"/>
    <n v="891"/>
    <n v="1"/>
    <x v="2"/>
    <s v="Friday"/>
    <x v="2"/>
    <n v="3"/>
    <n v="482.06"/>
    <n v="1446.18"/>
    <x v="1"/>
    <x v="1"/>
  </r>
  <r>
    <s v="CUS-8392-XY"/>
    <x v="1"/>
    <x v="0"/>
    <x v="6"/>
    <d v="2023-06-15T00:00:00"/>
    <n v="412"/>
    <n v="1"/>
    <x v="2"/>
    <s v="Thursday"/>
    <x v="0"/>
    <n v="4"/>
    <n v="284.66000000000003"/>
    <n v="1138.6400000000001"/>
    <x v="0"/>
    <x v="1"/>
  </r>
  <r>
    <s v="CUS-2306-XY"/>
    <x v="1"/>
    <x v="0"/>
    <x v="7"/>
    <d v="2023-09-21T00:00:00"/>
    <n v="711"/>
    <n v="3"/>
    <x v="0"/>
    <s v="Thursday"/>
    <x v="4"/>
    <n v="4"/>
    <n v="489.79"/>
    <n v="1959.16"/>
    <x v="2"/>
    <x v="1"/>
  </r>
  <r>
    <s v="CUS-7776-XY"/>
    <x v="0"/>
    <x v="0"/>
    <x v="0"/>
    <d v="2023-11-29T00:00:00"/>
    <n v="937"/>
    <n v="4"/>
    <x v="0"/>
    <s v="Wednesday"/>
    <x v="0"/>
    <n v="2"/>
    <n v="390.79"/>
    <n v="781.58"/>
    <x v="3"/>
    <x v="1"/>
  </r>
  <r>
    <s v="CUS-6864-MN"/>
    <x v="3"/>
    <x v="0"/>
    <x v="9"/>
    <d v="2023-08-21T00:00:00"/>
    <n v="908"/>
    <n v="5"/>
    <x v="0"/>
    <s v="Monday"/>
    <x v="2"/>
    <n v="3"/>
    <n v="122.75"/>
    <n v="368.25"/>
    <x v="1"/>
    <x v="1"/>
  </r>
  <r>
    <s v="CUS-8526-KL"/>
    <x v="1"/>
    <x v="0"/>
    <x v="3"/>
    <d v="2023-07-19T00:00:00"/>
    <n v="281"/>
    <n v="2"/>
    <x v="2"/>
    <s v="Wednesday"/>
    <x v="3"/>
    <n v="1"/>
    <n v="264.61"/>
    <n v="264.61"/>
    <x v="1"/>
    <x v="1"/>
  </r>
  <r>
    <s v="CUS-9901-AB"/>
    <x v="1"/>
    <x v="0"/>
    <x v="6"/>
    <d v="2023-06-18T00:00:00"/>
    <n v="785"/>
    <n v="8"/>
    <x v="1"/>
    <s v="Sunday"/>
    <x v="4"/>
    <n v="2"/>
    <n v="373.25"/>
    <n v="746.5"/>
    <x v="3"/>
    <x v="1"/>
  </r>
  <r>
    <s v="CUS-6575-KL"/>
    <x v="0"/>
    <x v="0"/>
    <x v="9"/>
    <d v="2023-08-01T00:00:00"/>
    <n v="927"/>
    <n v="2"/>
    <x v="2"/>
    <s v="Tuesday"/>
    <x v="4"/>
    <n v="4"/>
    <n v="161.30000000000001"/>
    <n v="645.20000000000005"/>
    <x v="1"/>
    <x v="1"/>
  </r>
  <r>
    <s v="CUS-6530-AB"/>
    <x v="0"/>
    <x v="0"/>
    <x v="1"/>
    <d v="2023-05-19T00:00:00"/>
    <n v="463"/>
    <n v="9"/>
    <x v="1"/>
    <s v="Friday"/>
    <x v="1"/>
    <n v="4"/>
    <n v="338.28"/>
    <n v="1353.12"/>
    <x v="1"/>
    <x v="1"/>
  </r>
  <r>
    <s v="CUS-5413-MN"/>
    <x v="1"/>
    <x v="0"/>
    <x v="1"/>
    <d v="2023-05-25T00:00:00"/>
    <n v="287"/>
    <n v="2"/>
    <x v="2"/>
    <s v="Thursday"/>
    <x v="4"/>
    <n v="1"/>
    <n v="349.97"/>
    <n v="349.97"/>
    <x v="0"/>
    <x v="1"/>
  </r>
  <r>
    <s v="CUS-4748-KL"/>
    <x v="3"/>
    <x v="0"/>
    <x v="3"/>
    <d v="2023-07-23T00:00:00"/>
    <n v="668"/>
    <n v="9"/>
    <x v="1"/>
    <s v="Sunday"/>
    <x v="4"/>
    <n v="4"/>
    <n v="123.21"/>
    <n v="492.84"/>
    <x v="2"/>
    <x v="1"/>
  </r>
  <r>
    <s v="CUS-1663-MN"/>
    <x v="4"/>
    <x v="0"/>
    <x v="5"/>
    <d v="2023-02-01T00:00:00"/>
    <n v="642"/>
    <n v="7"/>
    <x v="1"/>
    <s v="Wednesday"/>
    <x v="0"/>
    <n v="3"/>
    <n v="304.29000000000002"/>
    <n v="912.87"/>
    <x v="0"/>
    <x v="1"/>
  </r>
  <r>
    <s v="CUS-2998-AB"/>
    <x v="3"/>
    <x v="0"/>
    <x v="10"/>
    <d v="2023-04-02T00:00:00"/>
    <n v="695"/>
    <n v="8"/>
    <x v="1"/>
    <s v="Sunday"/>
    <x v="0"/>
    <n v="2"/>
    <n v="397.23"/>
    <n v="794.46"/>
    <x v="2"/>
    <x v="1"/>
  </r>
  <r>
    <s v="CUS-8994-XY"/>
    <x v="2"/>
    <x v="0"/>
    <x v="3"/>
    <d v="2023-07-20T00:00:00"/>
    <n v="763"/>
    <n v="2"/>
    <x v="2"/>
    <s v="Thursday"/>
    <x v="2"/>
    <n v="4"/>
    <n v="274.5"/>
    <n v="1098"/>
    <x v="0"/>
    <x v="1"/>
  </r>
  <r>
    <s v="CUS-2495-KL"/>
    <x v="3"/>
    <x v="0"/>
    <x v="6"/>
    <d v="2023-06-14T00:00:00"/>
    <n v="647"/>
    <n v="7"/>
    <x v="1"/>
    <s v="Wednesday"/>
    <x v="4"/>
    <n v="4"/>
    <n v="55.45"/>
    <n v="221.8"/>
    <x v="2"/>
    <x v="1"/>
  </r>
  <r>
    <s v="CUS-4304-AB"/>
    <x v="2"/>
    <x v="0"/>
    <x v="1"/>
    <d v="2023-05-08T00:00:00"/>
    <n v="824"/>
    <n v="6"/>
    <x v="0"/>
    <s v="Monday"/>
    <x v="4"/>
    <n v="1"/>
    <n v="54.07"/>
    <n v="54.07"/>
    <x v="1"/>
    <x v="1"/>
  </r>
  <r>
    <s v="CUS-4763-XY"/>
    <x v="4"/>
    <x v="0"/>
    <x v="7"/>
    <d v="2023-09-28T00:00:00"/>
    <n v="507"/>
    <n v="4"/>
    <x v="0"/>
    <s v="Thursday"/>
    <x v="3"/>
    <n v="3"/>
    <n v="210.66"/>
    <n v="631.98"/>
    <x v="1"/>
    <x v="1"/>
  </r>
  <r>
    <s v="CUS-6232-XY"/>
    <x v="0"/>
    <x v="0"/>
    <x v="7"/>
    <d v="2023-09-18T00:00:00"/>
    <n v="975"/>
    <n v="7"/>
    <x v="1"/>
    <s v="Monday"/>
    <x v="0"/>
    <n v="4"/>
    <n v="466.79"/>
    <n v="1867.16"/>
    <x v="2"/>
    <x v="1"/>
  </r>
  <r>
    <s v="CUS-2853-KL"/>
    <x v="0"/>
    <x v="0"/>
    <x v="8"/>
    <d v="2023-03-06T00:00:00"/>
    <n v="717"/>
    <n v="4"/>
    <x v="0"/>
    <s v="Monday"/>
    <x v="3"/>
    <n v="1"/>
    <n v="152.9"/>
    <n v="152.9"/>
    <x v="3"/>
    <x v="1"/>
  </r>
  <r>
    <s v="CUS-7585-AB"/>
    <x v="3"/>
    <x v="0"/>
    <x v="0"/>
    <d v="2023-11-19T00:00:00"/>
    <n v="513"/>
    <n v="2"/>
    <x v="2"/>
    <s v="Sunday"/>
    <x v="3"/>
    <n v="4"/>
    <n v="335.46"/>
    <n v="1341.84"/>
    <x v="2"/>
    <x v="1"/>
  </r>
  <r>
    <s v="CUS-2291-MN"/>
    <x v="3"/>
    <x v="0"/>
    <x v="3"/>
    <d v="2023-07-07T00:00:00"/>
    <n v="441"/>
    <n v="7"/>
    <x v="1"/>
    <s v="Friday"/>
    <x v="0"/>
    <n v="1"/>
    <n v="149.93"/>
    <n v="149.93"/>
    <x v="2"/>
    <x v="1"/>
  </r>
  <r>
    <s v="CUS-4581-MN"/>
    <x v="2"/>
    <x v="0"/>
    <x v="11"/>
    <d v="2023-10-06T00:00:00"/>
    <n v="319"/>
    <n v="8"/>
    <x v="1"/>
    <s v="Friday"/>
    <x v="0"/>
    <n v="1"/>
    <n v="194.75"/>
    <n v="194.75"/>
    <x v="0"/>
    <x v="1"/>
  </r>
  <r>
    <s v="CUS-8554-XY"/>
    <x v="2"/>
    <x v="0"/>
    <x v="3"/>
    <d v="2023-07-31T00:00:00"/>
    <n v="262"/>
    <n v="2"/>
    <x v="2"/>
    <s v="Monday"/>
    <x v="1"/>
    <n v="3"/>
    <n v="431.62"/>
    <n v="1294.8599999999999"/>
    <x v="1"/>
    <x v="1"/>
  </r>
  <r>
    <s v="CUS-8280-XY"/>
    <x v="2"/>
    <x v="1"/>
    <x v="2"/>
    <d v="2024-01-05T00:00:00"/>
    <n v="319"/>
    <n v="5"/>
    <x v="0"/>
    <s v="Friday"/>
    <x v="1"/>
    <n v="4"/>
    <n v="377.99"/>
    <n v="1511.96"/>
    <x v="0"/>
    <x v="1"/>
  </r>
  <r>
    <s v="CUS-2636-KL"/>
    <x v="4"/>
    <x v="0"/>
    <x v="11"/>
    <d v="2023-10-03T00:00:00"/>
    <n v="369"/>
    <n v="1"/>
    <x v="2"/>
    <s v="Tuesday"/>
    <x v="4"/>
    <n v="3"/>
    <n v="92.93"/>
    <n v="278.79000000000002"/>
    <x v="0"/>
    <x v="1"/>
  </r>
  <r>
    <s v="CUS-4696-KL"/>
    <x v="0"/>
    <x v="0"/>
    <x v="7"/>
    <d v="2023-09-23T00:00:00"/>
    <n v="731"/>
    <n v="7"/>
    <x v="1"/>
    <s v="Saturday"/>
    <x v="0"/>
    <n v="1"/>
    <n v="242.92"/>
    <n v="242.92"/>
    <x v="0"/>
    <x v="1"/>
  </r>
  <r>
    <s v="CUS-1698-AB"/>
    <x v="4"/>
    <x v="0"/>
    <x v="11"/>
    <d v="2023-10-20T00:00:00"/>
    <n v="947"/>
    <n v="8"/>
    <x v="1"/>
    <s v="Friday"/>
    <x v="4"/>
    <n v="2"/>
    <n v="63.13"/>
    <n v="126.26"/>
    <x v="3"/>
    <x v="1"/>
  </r>
  <r>
    <s v="CUS-5737-XY"/>
    <x v="0"/>
    <x v="0"/>
    <x v="5"/>
    <d v="2023-02-28T00:00:00"/>
    <n v="499"/>
    <n v="6"/>
    <x v="0"/>
    <s v="Tuesday"/>
    <x v="1"/>
    <n v="4"/>
    <n v="266.39999999999998"/>
    <n v="1065.5999999999999"/>
    <x v="0"/>
    <x v="1"/>
  </r>
  <r>
    <s v="CUS-1854-KL"/>
    <x v="4"/>
    <x v="0"/>
    <x v="8"/>
    <d v="2023-03-21T00:00:00"/>
    <n v="281"/>
    <n v="5"/>
    <x v="0"/>
    <s v="Tuesday"/>
    <x v="3"/>
    <n v="2"/>
    <n v="348.1"/>
    <n v="696.2"/>
    <x v="1"/>
    <x v="1"/>
  </r>
  <r>
    <s v="CUS-9164-XY"/>
    <x v="4"/>
    <x v="0"/>
    <x v="7"/>
    <d v="2023-09-24T00:00:00"/>
    <n v="717"/>
    <n v="6"/>
    <x v="0"/>
    <s v="Sunday"/>
    <x v="4"/>
    <n v="4"/>
    <n v="103.33"/>
    <n v="413.32"/>
    <x v="2"/>
    <x v="1"/>
  </r>
  <r>
    <s v="CUS-6855-AB"/>
    <x v="1"/>
    <x v="0"/>
    <x v="3"/>
    <d v="2023-07-02T00:00:00"/>
    <n v="828"/>
    <n v="2"/>
    <x v="2"/>
    <s v="Sunday"/>
    <x v="1"/>
    <n v="3"/>
    <n v="180"/>
    <n v="540"/>
    <x v="3"/>
    <x v="1"/>
  </r>
  <r>
    <s v="CUS-8392-KL"/>
    <x v="4"/>
    <x v="0"/>
    <x v="11"/>
    <d v="2023-10-04T00:00:00"/>
    <n v="304"/>
    <n v="1"/>
    <x v="2"/>
    <s v="Wednesday"/>
    <x v="0"/>
    <n v="3"/>
    <n v="229.03"/>
    <n v="687.09"/>
    <x v="0"/>
    <x v="1"/>
  </r>
  <r>
    <s v="CUS-7528-MN"/>
    <x v="4"/>
    <x v="0"/>
    <x v="5"/>
    <d v="2023-02-14T00:00:00"/>
    <n v="681"/>
    <n v="7"/>
    <x v="1"/>
    <s v="Tuesday"/>
    <x v="4"/>
    <n v="3"/>
    <n v="463.79"/>
    <n v="1391.37"/>
    <x v="0"/>
    <x v="1"/>
  </r>
  <r>
    <s v="CUS-6249-KL"/>
    <x v="2"/>
    <x v="0"/>
    <x v="3"/>
    <d v="2023-07-22T00:00:00"/>
    <n v="655"/>
    <n v="7"/>
    <x v="1"/>
    <s v="Saturday"/>
    <x v="4"/>
    <n v="3"/>
    <n v="496.96"/>
    <n v="1490.88"/>
    <x v="0"/>
    <x v="1"/>
  </r>
  <r>
    <s v="CUS-6172-KL"/>
    <x v="3"/>
    <x v="0"/>
    <x v="1"/>
    <d v="2023-05-21T00:00:00"/>
    <n v="940"/>
    <n v="2"/>
    <x v="2"/>
    <s v="Sunday"/>
    <x v="0"/>
    <n v="3"/>
    <n v="70.209999999999994"/>
    <n v="210.63"/>
    <x v="1"/>
    <x v="1"/>
  </r>
  <r>
    <s v="CUS-2707-MN"/>
    <x v="0"/>
    <x v="0"/>
    <x v="6"/>
    <d v="2023-06-18T00:00:00"/>
    <n v="912"/>
    <n v="2"/>
    <x v="2"/>
    <s v="Sunday"/>
    <x v="2"/>
    <n v="2"/>
    <n v="392.45"/>
    <n v="784.9"/>
    <x v="1"/>
    <x v="1"/>
  </r>
  <r>
    <s v="CUS-6791-AB"/>
    <x v="0"/>
    <x v="0"/>
    <x v="9"/>
    <d v="2023-08-10T00:00:00"/>
    <n v="327"/>
    <n v="1"/>
    <x v="2"/>
    <s v="Thursday"/>
    <x v="4"/>
    <n v="3"/>
    <n v="217.28"/>
    <n v="651.84"/>
    <x v="1"/>
    <x v="1"/>
  </r>
  <r>
    <s v="CUS-6535-XY"/>
    <x v="0"/>
    <x v="0"/>
    <x v="3"/>
    <d v="2023-07-11T00:00:00"/>
    <n v="795"/>
    <n v="8"/>
    <x v="1"/>
    <s v="Tuesday"/>
    <x v="4"/>
    <n v="1"/>
    <n v="226.61"/>
    <n v="226.61"/>
    <x v="0"/>
    <x v="1"/>
  </r>
  <r>
    <s v="CUS-5931-MN"/>
    <x v="4"/>
    <x v="0"/>
    <x v="3"/>
    <d v="2023-07-25T00:00:00"/>
    <n v="718"/>
    <n v="8"/>
    <x v="1"/>
    <s v="Tuesday"/>
    <x v="1"/>
    <n v="1"/>
    <n v="389.42"/>
    <n v="389.42"/>
    <x v="2"/>
    <x v="1"/>
  </r>
  <r>
    <s v="CUS-4510-XY"/>
    <x v="4"/>
    <x v="0"/>
    <x v="6"/>
    <d v="2023-06-28T00:00:00"/>
    <n v="695"/>
    <n v="1"/>
    <x v="2"/>
    <s v="Wednesday"/>
    <x v="1"/>
    <n v="2"/>
    <n v="463.29"/>
    <n v="926.58"/>
    <x v="3"/>
    <x v="1"/>
  </r>
  <r>
    <s v="CUS-1202-KL"/>
    <x v="0"/>
    <x v="0"/>
    <x v="6"/>
    <d v="2023-06-07T00:00:00"/>
    <n v="949"/>
    <n v="8"/>
    <x v="1"/>
    <s v="Wednesday"/>
    <x v="2"/>
    <n v="4"/>
    <n v="477.92"/>
    <n v="1911.68"/>
    <x v="2"/>
    <x v="1"/>
  </r>
  <r>
    <s v="CUS-5218-AB"/>
    <x v="1"/>
    <x v="0"/>
    <x v="11"/>
    <d v="2023-10-18T00:00:00"/>
    <n v="349"/>
    <n v="9"/>
    <x v="1"/>
    <s v="Wednesday"/>
    <x v="1"/>
    <n v="1"/>
    <n v="309.70999999999998"/>
    <n v="309.70999999999998"/>
    <x v="2"/>
    <x v="1"/>
  </r>
  <r>
    <s v="CUS-9958-MN"/>
    <x v="0"/>
    <x v="0"/>
    <x v="2"/>
    <d v="2023-01-09T00:00:00"/>
    <n v="974"/>
    <n v="4"/>
    <x v="0"/>
    <s v="Monday"/>
    <x v="4"/>
    <n v="4"/>
    <n v="210.7"/>
    <n v="842.8"/>
    <x v="2"/>
    <x v="1"/>
  </r>
  <r>
    <s v="CUS-5389-KL"/>
    <x v="1"/>
    <x v="0"/>
    <x v="9"/>
    <d v="2023-08-08T00:00:00"/>
    <n v="540"/>
    <n v="1"/>
    <x v="2"/>
    <s v="Tuesday"/>
    <x v="0"/>
    <n v="2"/>
    <n v="404.4"/>
    <n v="808.8"/>
    <x v="0"/>
    <x v="1"/>
  </r>
  <r>
    <s v="CUS-3327-KL"/>
    <x v="0"/>
    <x v="0"/>
    <x v="3"/>
    <d v="2023-07-27T00:00:00"/>
    <n v="632"/>
    <n v="1"/>
    <x v="2"/>
    <s v="Thursday"/>
    <x v="3"/>
    <n v="4"/>
    <n v="162.94999999999999"/>
    <n v="651.79999999999995"/>
    <x v="3"/>
    <x v="1"/>
  </r>
  <r>
    <s v="CUS-9004-AB"/>
    <x v="3"/>
    <x v="0"/>
    <x v="7"/>
    <d v="2023-09-22T00:00:00"/>
    <n v="295"/>
    <n v="3"/>
    <x v="0"/>
    <s v="Friday"/>
    <x v="4"/>
    <n v="4"/>
    <n v="303.83"/>
    <n v="1215.32"/>
    <x v="1"/>
    <x v="1"/>
  </r>
  <r>
    <s v="CUS-3931-AB"/>
    <x v="4"/>
    <x v="0"/>
    <x v="9"/>
    <d v="2023-08-12T00:00:00"/>
    <n v="789"/>
    <n v="5"/>
    <x v="0"/>
    <s v="Saturday"/>
    <x v="4"/>
    <n v="4"/>
    <n v="211.36"/>
    <n v="845.44"/>
    <x v="3"/>
    <x v="1"/>
  </r>
  <r>
    <s v="CUS-8777-XY"/>
    <x v="0"/>
    <x v="0"/>
    <x v="0"/>
    <d v="2023-11-03T00:00:00"/>
    <n v="618"/>
    <n v="5"/>
    <x v="0"/>
    <s v="Friday"/>
    <x v="1"/>
    <n v="4"/>
    <n v="345.48"/>
    <n v="1381.92"/>
    <x v="3"/>
    <x v="1"/>
  </r>
  <r>
    <s v="CUS-1197-AB"/>
    <x v="1"/>
    <x v="0"/>
    <x v="4"/>
    <d v="2023-12-26T00:00:00"/>
    <n v="169"/>
    <n v="9"/>
    <x v="1"/>
    <s v="Tuesday"/>
    <x v="1"/>
    <n v="2"/>
    <n v="158.18"/>
    <n v="316.36"/>
    <x v="1"/>
    <x v="1"/>
  </r>
  <r>
    <s v="CUS-8125-XY"/>
    <x v="0"/>
    <x v="0"/>
    <x v="1"/>
    <d v="2023-05-08T00:00:00"/>
    <n v="738"/>
    <n v="2"/>
    <x v="2"/>
    <s v="Monday"/>
    <x v="4"/>
    <n v="1"/>
    <n v="136.22"/>
    <n v="136.22"/>
    <x v="0"/>
    <x v="1"/>
  </r>
  <r>
    <s v="CUS-2930-AB"/>
    <x v="3"/>
    <x v="0"/>
    <x v="8"/>
    <d v="2023-03-26T00:00:00"/>
    <n v="498"/>
    <n v="2"/>
    <x v="2"/>
    <s v="Sunday"/>
    <x v="4"/>
    <n v="3"/>
    <n v="463.21"/>
    <n v="1389.63"/>
    <x v="0"/>
    <x v="1"/>
  </r>
  <r>
    <s v="CUS-7287-MN"/>
    <x v="2"/>
    <x v="0"/>
    <x v="6"/>
    <d v="2023-06-10T00:00:00"/>
    <n v="771"/>
    <n v="6"/>
    <x v="0"/>
    <s v="Saturday"/>
    <x v="1"/>
    <n v="4"/>
    <n v="95.81"/>
    <n v="383.24"/>
    <x v="0"/>
    <x v="1"/>
  </r>
  <r>
    <s v="CUS-9800-KL"/>
    <x v="0"/>
    <x v="0"/>
    <x v="10"/>
    <d v="2023-04-25T00:00:00"/>
    <n v="859"/>
    <n v="9"/>
    <x v="1"/>
    <s v="Tuesday"/>
    <x v="4"/>
    <n v="1"/>
    <n v="277.68"/>
    <n v="277.68"/>
    <x v="2"/>
    <x v="1"/>
  </r>
  <r>
    <s v="CUS-5282-KL"/>
    <x v="2"/>
    <x v="0"/>
    <x v="9"/>
    <d v="2023-08-14T00:00:00"/>
    <n v="302"/>
    <n v="1"/>
    <x v="2"/>
    <s v="Monday"/>
    <x v="1"/>
    <n v="1"/>
    <n v="149.38"/>
    <n v="149.38"/>
    <x v="2"/>
    <x v="1"/>
  </r>
  <r>
    <s v="CUS-3511-KL"/>
    <x v="3"/>
    <x v="0"/>
    <x v="4"/>
    <d v="2023-12-08T00:00:00"/>
    <n v="247"/>
    <n v="9"/>
    <x v="1"/>
    <s v="Friday"/>
    <x v="1"/>
    <n v="2"/>
    <n v="67.52"/>
    <n v="135.04"/>
    <x v="1"/>
    <x v="1"/>
  </r>
  <r>
    <s v="CUS-1659-MN"/>
    <x v="0"/>
    <x v="0"/>
    <x v="8"/>
    <d v="2023-03-01T00:00:00"/>
    <n v="571"/>
    <n v="9"/>
    <x v="1"/>
    <s v="Wednesday"/>
    <x v="3"/>
    <n v="1"/>
    <n v="66.209999999999994"/>
    <n v="66.209999999999994"/>
    <x v="1"/>
    <x v="1"/>
  </r>
  <r>
    <s v="CUS-3811-KL"/>
    <x v="1"/>
    <x v="0"/>
    <x v="5"/>
    <d v="2023-02-15T00:00:00"/>
    <n v="754"/>
    <n v="9"/>
    <x v="1"/>
    <s v="Wednesday"/>
    <x v="2"/>
    <n v="2"/>
    <n v="128.85"/>
    <n v="257.7"/>
    <x v="2"/>
    <x v="1"/>
  </r>
  <r>
    <s v="CUS-8098-KL"/>
    <x v="4"/>
    <x v="0"/>
    <x v="10"/>
    <d v="2023-04-09T00:00:00"/>
    <n v="298"/>
    <n v="5"/>
    <x v="0"/>
    <s v="Sunday"/>
    <x v="2"/>
    <n v="4"/>
    <n v="440.05"/>
    <n v="1760.2"/>
    <x v="0"/>
    <x v="1"/>
  </r>
  <r>
    <s v="CUS-7546-XY"/>
    <x v="1"/>
    <x v="0"/>
    <x v="11"/>
    <d v="2023-10-02T00:00:00"/>
    <n v="525"/>
    <n v="9"/>
    <x v="1"/>
    <s v="Monday"/>
    <x v="0"/>
    <n v="4"/>
    <n v="177.12"/>
    <n v="708.48"/>
    <x v="3"/>
    <x v="1"/>
  </r>
  <r>
    <s v="CUS-2986-MN"/>
    <x v="2"/>
    <x v="0"/>
    <x v="9"/>
    <d v="2023-08-09T00:00:00"/>
    <n v="765"/>
    <n v="4"/>
    <x v="0"/>
    <s v="Wednesday"/>
    <x v="3"/>
    <n v="3"/>
    <n v="477.71"/>
    <n v="1433.13"/>
    <x v="2"/>
    <x v="1"/>
  </r>
  <r>
    <s v="CUS-9338-AB"/>
    <x v="0"/>
    <x v="0"/>
    <x v="5"/>
    <d v="2023-02-09T00:00:00"/>
    <n v="591"/>
    <n v="2"/>
    <x v="2"/>
    <s v="Thursday"/>
    <x v="0"/>
    <n v="3"/>
    <n v="311.73"/>
    <n v="935.19"/>
    <x v="3"/>
    <x v="1"/>
  </r>
  <r>
    <s v="CUS-3911-XY"/>
    <x v="4"/>
    <x v="0"/>
    <x v="4"/>
    <d v="2023-12-08T00:00:00"/>
    <n v="987"/>
    <n v="6"/>
    <x v="0"/>
    <s v="Friday"/>
    <x v="2"/>
    <n v="3"/>
    <n v="246.48"/>
    <n v="739.44"/>
    <x v="0"/>
    <x v="1"/>
  </r>
  <r>
    <s v="CUS-2734-KL"/>
    <x v="2"/>
    <x v="0"/>
    <x v="11"/>
    <d v="2023-10-20T00:00:00"/>
    <n v="995"/>
    <n v="4"/>
    <x v="0"/>
    <s v="Friday"/>
    <x v="4"/>
    <n v="1"/>
    <n v="311.04000000000002"/>
    <n v="311.04000000000002"/>
    <x v="3"/>
    <x v="1"/>
  </r>
  <r>
    <s v="CUS-2843-KL"/>
    <x v="3"/>
    <x v="0"/>
    <x v="2"/>
    <d v="2023-01-15T00:00:00"/>
    <n v="241"/>
    <n v="6"/>
    <x v="0"/>
    <s v="Sunday"/>
    <x v="3"/>
    <n v="4"/>
    <n v="282.51"/>
    <n v="1130.04"/>
    <x v="3"/>
    <x v="1"/>
  </r>
  <r>
    <s v="CUS-9680-AB"/>
    <x v="4"/>
    <x v="0"/>
    <x v="9"/>
    <d v="2023-08-29T00:00:00"/>
    <n v="412"/>
    <n v="3"/>
    <x v="0"/>
    <s v="Tuesday"/>
    <x v="3"/>
    <n v="2"/>
    <n v="391.45"/>
    <n v="782.9"/>
    <x v="1"/>
    <x v="1"/>
  </r>
  <r>
    <s v="CUS-3976-AB"/>
    <x v="1"/>
    <x v="0"/>
    <x v="11"/>
    <d v="2023-10-15T00:00:00"/>
    <n v="264"/>
    <n v="6"/>
    <x v="0"/>
    <s v="Sunday"/>
    <x v="0"/>
    <n v="3"/>
    <n v="177.12"/>
    <n v="531.36"/>
    <x v="0"/>
    <x v="1"/>
  </r>
  <r>
    <s v="CUS-2959-XY"/>
    <x v="4"/>
    <x v="0"/>
    <x v="1"/>
    <d v="2023-05-19T00:00:00"/>
    <n v="413"/>
    <n v="2"/>
    <x v="2"/>
    <s v="Friday"/>
    <x v="1"/>
    <n v="2"/>
    <n v="208.87"/>
    <n v="417.74"/>
    <x v="1"/>
    <x v="1"/>
  </r>
  <r>
    <s v="CUS-6759-KL"/>
    <x v="1"/>
    <x v="0"/>
    <x v="2"/>
    <d v="2023-01-28T00:00:00"/>
    <n v="120"/>
    <n v="2"/>
    <x v="2"/>
    <s v="Saturday"/>
    <x v="1"/>
    <n v="2"/>
    <n v="452.34"/>
    <n v="904.68"/>
    <x v="2"/>
    <x v="1"/>
  </r>
  <r>
    <s v="CUS-7694-MN"/>
    <x v="2"/>
    <x v="0"/>
    <x v="5"/>
    <d v="2023-02-07T00:00:00"/>
    <n v="181"/>
    <n v="9"/>
    <x v="1"/>
    <s v="Tuesday"/>
    <x v="3"/>
    <n v="3"/>
    <n v="475.91"/>
    <n v="1427.73"/>
    <x v="2"/>
    <x v="1"/>
  </r>
  <r>
    <s v="CUS-3385-XY"/>
    <x v="3"/>
    <x v="0"/>
    <x v="5"/>
    <d v="2023-02-15T00:00:00"/>
    <n v="680"/>
    <n v="7"/>
    <x v="1"/>
    <s v="Wednesday"/>
    <x v="4"/>
    <n v="4"/>
    <n v="451.65"/>
    <n v="1806.6"/>
    <x v="0"/>
    <x v="1"/>
  </r>
  <r>
    <s v="CUS-5736-AB"/>
    <x v="0"/>
    <x v="0"/>
    <x v="0"/>
    <d v="2023-11-06T00:00:00"/>
    <n v="230"/>
    <n v="3"/>
    <x v="0"/>
    <s v="Monday"/>
    <x v="3"/>
    <n v="3"/>
    <n v="238.75"/>
    <n v="716.25"/>
    <x v="0"/>
    <x v="1"/>
  </r>
  <r>
    <s v="CUS-2802-AB"/>
    <x v="1"/>
    <x v="0"/>
    <x v="0"/>
    <d v="2023-11-30T00:00:00"/>
    <n v="698"/>
    <n v="1"/>
    <x v="2"/>
    <s v="Thursday"/>
    <x v="0"/>
    <n v="2"/>
    <n v="401.16"/>
    <n v="802.32"/>
    <x v="0"/>
    <x v="1"/>
  </r>
  <r>
    <s v="CUS-9155-KL"/>
    <x v="2"/>
    <x v="0"/>
    <x v="5"/>
    <d v="2023-02-22T00:00:00"/>
    <n v="829"/>
    <n v="8"/>
    <x v="1"/>
    <s v="Wednesday"/>
    <x v="2"/>
    <n v="3"/>
    <n v="264.35000000000002"/>
    <n v="793.05"/>
    <x v="3"/>
    <x v="1"/>
  </r>
  <r>
    <s v="CUS-9120-XY"/>
    <x v="0"/>
    <x v="0"/>
    <x v="10"/>
    <d v="2023-04-03T00:00:00"/>
    <n v="404"/>
    <n v="6"/>
    <x v="0"/>
    <s v="Monday"/>
    <x v="2"/>
    <n v="2"/>
    <n v="273.89"/>
    <n v="547.78"/>
    <x v="3"/>
    <x v="1"/>
  </r>
  <r>
    <s v="CUS-7616-KL"/>
    <x v="2"/>
    <x v="0"/>
    <x v="8"/>
    <d v="2023-03-09T00:00:00"/>
    <n v="470"/>
    <n v="7"/>
    <x v="1"/>
    <s v="Thursday"/>
    <x v="4"/>
    <n v="2"/>
    <n v="142.11000000000001"/>
    <n v="284.22000000000003"/>
    <x v="2"/>
    <x v="1"/>
  </r>
  <r>
    <s v="CUS-6534-XY"/>
    <x v="4"/>
    <x v="0"/>
    <x v="8"/>
    <d v="2023-03-19T00:00:00"/>
    <n v="956"/>
    <n v="9"/>
    <x v="1"/>
    <s v="Sunday"/>
    <x v="4"/>
    <n v="3"/>
    <n v="316.01"/>
    <n v="948.03"/>
    <x v="2"/>
    <x v="1"/>
  </r>
  <r>
    <s v="CUS-5061-MN"/>
    <x v="0"/>
    <x v="0"/>
    <x v="0"/>
    <d v="2023-11-07T00:00:00"/>
    <n v="952"/>
    <n v="5"/>
    <x v="0"/>
    <s v="Tuesday"/>
    <x v="2"/>
    <n v="1"/>
    <n v="133.76"/>
    <n v="133.76"/>
    <x v="1"/>
    <x v="1"/>
  </r>
  <r>
    <s v="CUS-1262-XY"/>
    <x v="0"/>
    <x v="0"/>
    <x v="1"/>
    <d v="2023-05-03T00:00:00"/>
    <n v="483"/>
    <n v="1"/>
    <x v="2"/>
    <s v="Wednesday"/>
    <x v="3"/>
    <n v="3"/>
    <n v="199.2"/>
    <n v="597.6"/>
    <x v="1"/>
    <x v="1"/>
  </r>
  <r>
    <s v="CUS-7287-MN"/>
    <x v="1"/>
    <x v="0"/>
    <x v="1"/>
    <d v="2023-05-01T00:00:00"/>
    <n v="544"/>
    <n v="7"/>
    <x v="1"/>
    <s v="Monday"/>
    <x v="3"/>
    <n v="1"/>
    <n v="434.76"/>
    <n v="434.76"/>
    <x v="1"/>
    <x v="1"/>
  </r>
  <r>
    <s v="CUS-9815-MN"/>
    <x v="1"/>
    <x v="0"/>
    <x v="8"/>
    <d v="2023-03-29T00:00:00"/>
    <n v="524"/>
    <n v="5"/>
    <x v="0"/>
    <s v="Wednesday"/>
    <x v="4"/>
    <n v="2"/>
    <n v="143.18"/>
    <n v="286.36"/>
    <x v="2"/>
    <x v="1"/>
  </r>
  <r>
    <s v="CUS-3049-MN"/>
    <x v="3"/>
    <x v="0"/>
    <x v="9"/>
    <d v="2023-08-13T00:00:00"/>
    <n v="260"/>
    <n v="3"/>
    <x v="0"/>
    <s v="Sunday"/>
    <x v="1"/>
    <n v="2"/>
    <n v="82.02"/>
    <n v="164.04"/>
    <x v="0"/>
    <x v="1"/>
  </r>
  <r>
    <s v="CUS-6423-XY"/>
    <x v="2"/>
    <x v="0"/>
    <x v="1"/>
    <d v="2023-05-28T00:00:00"/>
    <n v="277"/>
    <n v="9"/>
    <x v="1"/>
    <s v="Sunday"/>
    <x v="0"/>
    <n v="1"/>
    <n v="81.05"/>
    <n v="81.05"/>
    <x v="2"/>
    <x v="1"/>
  </r>
  <r>
    <s v="CUS-5548-XY"/>
    <x v="3"/>
    <x v="0"/>
    <x v="7"/>
    <d v="2023-09-30T00:00:00"/>
    <n v="728"/>
    <n v="1"/>
    <x v="2"/>
    <s v="Saturday"/>
    <x v="0"/>
    <n v="2"/>
    <n v="473.35"/>
    <n v="946.7"/>
    <x v="0"/>
    <x v="1"/>
  </r>
  <r>
    <s v="CUS-4108-XY"/>
    <x v="2"/>
    <x v="0"/>
    <x v="8"/>
    <d v="2023-03-18T00:00:00"/>
    <n v="807"/>
    <n v="1"/>
    <x v="2"/>
    <s v="Saturday"/>
    <x v="3"/>
    <n v="1"/>
    <n v="278.11"/>
    <n v="278.11"/>
    <x v="3"/>
    <x v="1"/>
  </r>
  <r>
    <s v="CUS-8158-KL"/>
    <x v="1"/>
    <x v="0"/>
    <x v="11"/>
    <d v="2023-10-16T00:00:00"/>
    <n v="994"/>
    <n v="1"/>
    <x v="2"/>
    <s v="Monday"/>
    <x v="4"/>
    <n v="1"/>
    <n v="234.24"/>
    <n v="234.24"/>
    <x v="0"/>
    <x v="1"/>
  </r>
  <r>
    <s v="CUS-8400-AB"/>
    <x v="2"/>
    <x v="0"/>
    <x v="9"/>
    <d v="2023-08-12T00:00:00"/>
    <n v="589"/>
    <n v="3"/>
    <x v="0"/>
    <s v="Saturday"/>
    <x v="2"/>
    <n v="2"/>
    <n v="414.9"/>
    <n v="829.8"/>
    <x v="2"/>
    <x v="1"/>
  </r>
  <r>
    <s v="CUS-4170-KL"/>
    <x v="2"/>
    <x v="0"/>
    <x v="5"/>
    <d v="2023-02-17T00:00:00"/>
    <n v="426"/>
    <n v="6"/>
    <x v="0"/>
    <s v="Friday"/>
    <x v="3"/>
    <n v="4"/>
    <n v="426.12"/>
    <n v="1704.48"/>
    <x v="1"/>
    <x v="1"/>
  </r>
  <r>
    <s v="CUS-3255-XY"/>
    <x v="1"/>
    <x v="0"/>
    <x v="6"/>
    <d v="2023-06-04T00:00:00"/>
    <n v="697"/>
    <n v="3"/>
    <x v="0"/>
    <s v="Sunday"/>
    <x v="4"/>
    <n v="1"/>
    <n v="199.49"/>
    <n v="199.49"/>
    <x v="1"/>
    <x v="1"/>
  </r>
  <r>
    <s v="CUS-2154-MN"/>
    <x v="2"/>
    <x v="0"/>
    <x v="0"/>
    <d v="2023-11-20T00:00:00"/>
    <n v="388"/>
    <n v="8"/>
    <x v="1"/>
    <s v="Monday"/>
    <x v="0"/>
    <n v="3"/>
    <n v="362.13"/>
    <n v="1086.3900000000001"/>
    <x v="0"/>
    <x v="1"/>
  </r>
  <r>
    <s v="CUS-5499-MN"/>
    <x v="3"/>
    <x v="0"/>
    <x v="4"/>
    <d v="2023-12-05T00:00:00"/>
    <n v="692"/>
    <n v="2"/>
    <x v="2"/>
    <s v="Tuesday"/>
    <x v="0"/>
    <n v="3"/>
    <n v="397.01"/>
    <n v="1191.03"/>
    <x v="3"/>
    <x v="1"/>
  </r>
  <r>
    <s v="CUS-7295-MN"/>
    <x v="2"/>
    <x v="0"/>
    <x v="6"/>
    <d v="2023-06-28T00:00:00"/>
    <n v="763"/>
    <n v="9"/>
    <x v="1"/>
    <s v="Wednesday"/>
    <x v="4"/>
    <n v="2"/>
    <n v="344.59"/>
    <n v="689.18"/>
    <x v="2"/>
    <x v="1"/>
  </r>
  <r>
    <s v="CUS-7197-MN"/>
    <x v="3"/>
    <x v="0"/>
    <x v="6"/>
    <d v="2023-06-28T00:00:00"/>
    <n v="672"/>
    <n v="3"/>
    <x v="0"/>
    <s v="Wednesday"/>
    <x v="2"/>
    <n v="4"/>
    <n v="118.22"/>
    <n v="472.88"/>
    <x v="2"/>
    <x v="1"/>
  </r>
  <r>
    <s v="CUS-2648-MN"/>
    <x v="2"/>
    <x v="0"/>
    <x v="4"/>
    <d v="2023-12-07T00:00:00"/>
    <n v="672"/>
    <n v="5"/>
    <x v="0"/>
    <s v="Thursday"/>
    <x v="4"/>
    <n v="2"/>
    <n v="444.15"/>
    <n v="888.3"/>
    <x v="2"/>
    <x v="1"/>
  </r>
  <r>
    <s v="CUS-6539-XY"/>
    <x v="4"/>
    <x v="0"/>
    <x v="9"/>
    <d v="2023-08-11T00:00:00"/>
    <n v="453"/>
    <n v="8"/>
    <x v="1"/>
    <s v="Friday"/>
    <x v="4"/>
    <n v="4"/>
    <n v="292.58999999999997"/>
    <n v="1170.3599999999999"/>
    <x v="2"/>
    <x v="1"/>
  </r>
  <r>
    <s v="CUS-5199-AB"/>
    <x v="0"/>
    <x v="0"/>
    <x v="2"/>
    <d v="2023-01-14T00:00:00"/>
    <n v="127"/>
    <n v="2"/>
    <x v="2"/>
    <s v="Saturday"/>
    <x v="3"/>
    <n v="1"/>
    <n v="177.11"/>
    <n v="177.11"/>
    <x v="1"/>
    <x v="1"/>
  </r>
  <r>
    <s v="CUS-9445-MN"/>
    <x v="4"/>
    <x v="0"/>
    <x v="4"/>
    <d v="2023-12-06T00:00:00"/>
    <n v="142"/>
    <n v="6"/>
    <x v="0"/>
    <s v="Wednesday"/>
    <x v="3"/>
    <n v="1"/>
    <n v="241.35"/>
    <n v="241.35"/>
    <x v="3"/>
    <x v="1"/>
  </r>
  <r>
    <s v="CUS-3557-AB"/>
    <x v="2"/>
    <x v="0"/>
    <x v="10"/>
    <d v="2023-04-06T00:00:00"/>
    <n v="780"/>
    <n v="5"/>
    <x v="0"/>
    <s v="Thursday"/>
    <x v="4"/>
    <n v="1"/>
    <n v="66.91"/>
    <n v="66.91"/>
    <x v="3"/>
    <x v="1"/>
  </r>
  <r>
    <s v="CUS-6592-KL"/>
    <x v="0"/>
    <x v="0"/>
    <x v="9"/>
    <d v="2023-08-08T00:00:00"/>
    <n v="522"/>
    <n v="9"/>
    <x v="1"/>
    <s v="Tuesday"/>
    <x v="2"/>
    <n v="1"/>
    <n v="107.54"/>
    <n v="107.54"/>
    <x v="3"/>
    <x v="1"/>
  </r>
  <r>
    <s v="CUS-1098-XY"/>
    <x v="3"/>
    <x v="0"/>
    <x v="8"/>
    <d v="2023-03-07T00:00:00"/>
    <n v="697"/>
    <n v="5"/>
    <x v="0"/>
    <s v="Tuesday"/>
    <x v="4"/>
    <n v="3"/>
    <n v="394.5"/>
    <n v="1183.5"/>
    <x v="0"/>
    <x v="1"/>
  </r>
  <r>
    <s v="CUS-3200-XY"/>
    <x v="3"/>
    <x v="0"/>
    <x v="2"/>
    <d v="2023-01-15T00:00:00"/>
    <n v="276"/>
    <n v="2"/>
    <x v="2"/>
    <s v="Sunday"/>
    <x v="4"/>
    <n v="3"/>
    <n v="50.01"/>
    <n v="150.03"/>
    <x v="2"/>
    <x v="1"/>
  </r>
  <r>
    <s v="CUS-3961-AB"/>
    <x v="0"/>
    <x v="0"/>
    <x v="10"/>
    <d v="2023-04-29T00:00:00"/>
    <n v="628"/>
    <n v="5"/>
    <x v="0"/>
    <s v="Saturday"/>
    <x v="3"/>
    <n v="2"/>
    <n v="237.45"/>
    <n v="474.9"/>
    <x v="1"/>
    <x v="1"/>
  </r>
  <r>
    <s v="CUS-5973-KL"/>
    <x v="3"/>
    <x v="0"/>
    <x v="11"/>
    <d v="2023-10-16T00:00:00"/>
    <n v="709"/>
    <n v="4"/>
    <x v="0"/>
    <s v="Monday"/>
    <x v="4"/>
    <n v="4"/>
    <n v="285.13"/>
    <n v="1140.52"/>
    <x v="1"/>
    <x v="1"/>
  </r>
  <r>
    <s v="CUS-5433-KL"/>
    <x v="2"/>
    <x v="0"/>
    <x v="10"/>
    <d v="2023-04-19T00:00:00"/>
    <n v="593"/>
    <n v="7"/>
    <x v="1"/>
    <s v="Wednesday"/>
    <x v="2"/>
    <n v="1"/>
    <n v="74.59"/>
    <n v="74.59"/>
    <x v="1"/>
    <x v="1"/>
  </r>
  <r>
    <s v="CUS-3869-XY"/>
    <x v="4"/>
    <x v="0"/>
    <x v="8"/>
    <d v="2023-03-28T00:00:00"/>
    <n v="297"/>
    <n v="6"/>
    <x v="0"/>
    <s v="Tuesday"/>
    <x v="1"/>
    <n v="1"/>
    <n v="487.89"/>
    <n v="487.89"/>
    <x v="3"/>
    <x v="1"/>
  </r>
  <r>
    <s v="CUS-1956-MN"/>
    <x v="0"/>
    <x v="0"/>
    <x v="8"/>
    <d v="2023-03-21T00:00:00"/>
    <n v="709"/>
    <n v="2"/>
    <x v="2"/>
    <s v="Tuesday"/>
    <x v="3"/>
    <n v="4"/>
    <n v="151.76"/>
    <n v="607.04"/>
    <x v="1"/>
    <x v="1"/>
  </r>
  <r>
    <s v="CUS-9352-XY"/>
    <x v="3"/>
    <x v="0"/>
    <x v="3"/>
    <d v="2023-07-13T00:00:00"/>
    <n v="676"/>
    <n v="5"/>
    <x v="0"/>
    <s v="Thursday"/>
    <x v="3"/>
    <n v="4"/>
    <n v="186.89"/>
    <n v="747.56"/>
    <x v="0"/>
    <x v="1"/>
  </r>
  <r>
    <s v="CUS-6699-AB"/>
    <x v="0"/>
    <x v="0"/>
    <x v="4"/>
    <d v="2023-12-30T00:00:00"/>
    <n v="941"/>
    <n v="7"/>
    <x v="1"/>
    <s v="Saturday"/>
    <x v="0"/>
    <n v="2"/>
    <n v="186.77"/>
    <n v="373.54"/>
    <x v="3"/>
    <x v="1"/>
  </r>
  <r>
    <s v="CUS-7944-XY"/>
    <x v="3"/>
    <x v="0"/>
    <x v="6"/>
    <d v="2023-06-24T00:00:00"/>
    <n v="952"/>
    <n v="7"/>
    <x v="1"/>
    <s v="Saturday"/>
    <x v="4"/>
    <n v="4"/>
    <n v="153.69"/>
    <n v="614.76"/>
    <x v="3"/>
    <x v="1"/>
  </r>
  <r>
    <s v="CUS-5493-MN"/>
    <x v="2"/>
    <x v="0"/>
    <x v="3"/>
    <d v="2023-07-28T00:00:00"/>
    <n v="616"/>
    <n v="5"/>
    <x v="0"/>
    <s v="Friday"/>
    <x v="4"/>
    <n v="1"/>
    <n v="50.66"/>
    <n v="50.66"/>
    <x v="0"/>
    <x v="1"/>
  </r>
  <r>
    <s v="CUS-5911-KL"/>
    <x v="2"/>
    <x v="0"/>
    <x v="0"/>
    <d v="2023-11-20T00:00:00"/>
    <n v="613"/>
    <n v="9"/>
    <x v="1"/>
    <s v="Monday"/>
    <x v="0"/>
    <n v="1"/>
    <n v="378.21"/>
    <n v="378.21"/>
    <x v="0"/>
    <x v="1"/>
  </r>
  <r>
    <s v="CUS-4987-MN"/>
    <x v="1"/>
    <x v="0"/>
    <x v="3"/>
    <d v="2023-07-19T00:00:00"/>
    <n v="121"/>
    <n v="4"/>
    <x v="0"/>
    <s v="Wednesday"/>
    <x v="4"/>
    <n v="1"/>
    <n v="485.08"/>
    <n v="485.08"/>
    <x v="0"/>
    <x v="1"/>
  </r>
  <r>
    <s v="CUS-7015-KL"/>
    <x v="0"/>
    <x v="0"/>
    <x v="8"/>
    <d v="2023-03-12T00:00:00"/>
    <n v="211"/>
    <n v="3"/>
    <x v="0"/>
    <s v="Sunday"/>
    <x v="4"/>
    <n v="1"/>
    <n v="150.93"/>
    <n v="150.93"/>
    <x v="0"/>
    <x v="1"/>
  </r>
  <r>
    <s v="CUS-2218-MN"/>
    <x v="2"/>
    <x v="0"/>
    <x v="10"/>
    <d v="2023-04-24T00:00:00"/>
    <n v="156"/>
    <n v="4"/>
    <x v="0"/>
    <s v="Monday"/>
    <x v="2"/>
    <n v="1"/>
    <n v="348.37"/>
    <n v="348.37"/>
    <x v="3"/>
    <x v="1"/>
  </r>
  <r>
    <s v="CUS-5496-XY"/>
    <x v="2"/>
    <x v="0"/>
    <x v="10"/>
    <d v="2023-04-29T00:00:00"/>
    <n v="165"/>
    <n v="5"/>
    <x v="0"/>
    <s v="Saturday"/>
    <x v="1"/>
    <n v="2"/>
    <n v="383.85"/>
    <n v="767.7"/>
    <x v="0"/>
    <x v="1"/>
  </r>
  <r>
    <s v="CUS-5735-KL"/>
    <x v="3"/>
    <x v="0"/>
    <x v="6"/>
    <d v="2023-06-01T00:00:00"/>
    <n v="941"/>
    <n v="6"/>
    <x v="0"/>
    <s v="Thursday"/>
    <x v="2"/>
    <n v="1"/>
    <n v="431.79"/>
    <n v="431.79"/>
    <x v="1"/>
    <x v="1"/>
  </r>
  <r>
    <s v="CUS-5555-XY"/>
    <x v="1"/>
    <x v="0"/>
    <x v="6"/>
    <d v="2023-06-08T00:00:00"/>
    <n v="197"/>
    <n v="3"/>
    <x v="0"/>
    <s v="Thursday"/>
    <x v="0"/>
    <n v="2"/>
    <n v="240.18"/>
    <n v="480.36"/>
    <x v="2"/>
    <x v="1"/>
  </r>
  <r>
    <s v="CUS-9050-KL"/>
    <x v="2"/>
    <x v="0"/>
    <x v="11"/>
    <d v="2023-10-21T00:00:00"/>
    <n v="243"/>
    <n v="2"/>
    <x v="2"/>
    <s v="Saturday"/>
    <x v="4"/>
    <n v="1"/>
    <n v="186.32"/>
    <n v="186.32"/>
    <x v="2"/>
    <x v="1"/>
  </r>
  <r>
    <s v="CUS-4446-MN"/>
    <x v="0"/>
    <x v="0"/>
    <x v="1"/>
    <d v="2023-05-12T00:00:00"/>
    <n v="979"/>
    <n v="4"/>
    <x v="0"/>
    <s v="Friday"/>
    <x v="0"/>
    <n v="3"/>
    <n v="196.38"/>
    <n v="589.14"/>
    <x v="2"/>
    <x v="1"/>
  </r>
  <r>
    <s v="CUS-2045-MN"/>
    <x v="4"/>
    <x v="0"/>
    <x v="6"/>
    <d v="2023-06-25T00:00:00"/>
    <n v="534"/>
    <n v="5"/>
    <x v="0"/>
    <s v="Sunday"/>
    <x v="2"/>
    <n v="3"/>
    <n v="370.68"/>
    <n v="1112.04"/>
    <x v="2"/>
    <x v="1"/>
  </r>
  <r>
    <s v="CUS-7893-MN"/>
    <x v="0"/>
    <x v="0"/>
    <x v="9"/>
    <d v="2023-08-21T00:00:00"/>
    <n v="736"/>
    <n v="4"/>
    <x v="0"/>
    <s v="Monday"/>
    <x v="4"/>
    <n v="3"/>
    <n v="417.55"/>
    <n v="1252.6500000000001"/>
    <x v="2"/>
    <x v="1"/>
  </r>
  <r>
    <s v="CUS-2693-MN"/>
    <x v="2"/>
    <x v="0"/>
    <x v="1"/>
    <d v="2023-05-21T00:00:00"/>
    <n v="778"/>
    <n v="3"/>
    <x v="0"/>
    <s v="Sunday"/>
    <x v="0"/>
    <n v="3"/>
    <n v="131.72999999999999"/>
    <n v="395.19"/>
    <x v="1"/>
    <x v="1"/>
  </r>
  <r>
    <s v="CUS-4436-XY"/>
    <x v="4"/>
    <x v="0"/>
    <x v="0"/>
    <d v="2023-11-10T00:00:00"/>
    <n v="185"/>
    <n v="8"/>
    <x v="1"/>
    <s v="Friday"/>
    <x v="0"/>
    <n v="2"/>
    <n v="216.92"/>
    <n v="433.84"/>
    <x v="2"/>
    <x v="1"/>
  </r>
  <r>
    <s v="CUS-9754-MN"/>
    <x v="0"/>
    <x v="0"/>
    <x v="9"/>
    <d v="2023-08-07T00:00:00"/>
    <n v="687"/>
    <n v="4"/>
    <x v="0"/>
    <s v="Monday"/>
    <x v="4"/>
    <n v="2"/>
    <n v="455.87"/>
    <n v="911.74"/>
    <x v="0"/>
    <x v="1"/>
  </r>
  <r>
    <s v="CUS-6895-MN"/>
    <x v="1"/>
    <x v="0"/>
    <x v="10"/>
    <d v="2023-04-20T00:00:00"/>
    <n v="443"/>
    <n v="2"/>
    <x v="2"/>
    <s v="Thursday"/>
    <x v="2"/>
    <n v="4"/>
    <n v="413.01"/>
    <n v="1652.04"/>
    <x v="0"/>
    <x v="1"/>
  </r>
  <r>
    <s v="CUS-4354-XY"/>
    <x v="0"/>
    <x v="0"/>
    <x v="7"/>
    <d v="2023-09-20T00:00:00"/>
    <n v="393"/>
    <n v="2"/>
    <x v="2"/>
    <s v="Wednesday"/>
    <x v="2"/>
    <n v="1"/>
    <n v="493.19"/>
    <n v="493.19"/>
    <x v="0"/>
    <x v="1"/>
  </r>
  <r>
    <s v="CUS-1225-MN"/>
    <x v="4"/>
    <x v="0"/>
    <x v="3"/>
    <d v="2023-07-13T00:00:00"/>
    <n v="670"/>
    <n v="1"/>
    <x v="2"/>
    <s v="Thursday"/>
    <x v="4"/>
    <n v="3"/>
    <n v="389.41"/>
    <n v="1168.23"/>
    <x v="1"/>
    <x v="1"/>
  </r>
  <r>
    <s v="CUS-5893-MN"/>
    <x v="1"/>
    <x v="0"/>
    <x v="3"/>
    <d v="2023-07-19T00:00:00"/>
    <n v="749"/>
    <n v="4"/>
    <x v="0"/>
    <s v="Wednesday"/>
    <x v="0"/>
    <n v="2"/>
    <n v="226.94"/>
    <n v="453.88"/>
    <x v="3"/>
    <x v="1"/>
  </r>
  <r>
    <s v="CUS-8022-KL"/>
    <x v="1"/>
    <x v="0"/>
    <x v="3"/>
    <d v="2023-07-04T00:00:00"/>
    <n v="710"/>
    <n v="9"/>
    <x v="1"/>
    <s v="Tuesday"/>
    <x v="3"/>
    <n v="1"/>
    <n v="315.79000000000002"/>
    <n v="315.79000000000002"/>
    <x v="1"/>
    <x v="1"/>
  </r>
  <r>
    <s v="CUS-6600-XY"/>
    <x v="1"/>
    <x v="0"/>
    <x v="3"/>
    <d v="2023-07-08T00:00:00"/>
    <n v="803"/>
    <n v="7"/>
    <x v="1"/>
    <s v="Saturday"/>
    <x v="3"/>
    <n v="1"/>
    <n v="347.46"/>
    <n v="347.46"/>
    <x v="2"/>
    <x v="1"/>
  </r>
  <r>
    <s v="CUS-8996-MN"/>
    <x v="4"/>
    <x v="0"/>
    <x v="11"/>
    <d v="2023-10-14T00:00:00"/>
    <n v="342"/>
    <n v="7"/>
    <x v="1"/>
    <s v="Saturday"/>
    <x v="2"/>
    <n v="2"/>
    <n v="85.31"/>
    <n v="170.62"/>
    <x v="1"/>
    <x v="1"/>
  </r>
  <r>
    <s v="CUS-8683-KL"/>
    <x v="3"/>
    <x v="0"/>
    <x v="5"/>
    <d v="2023-02-14T00:00:00"/>
    <n v="930"/>
    <n v="7"/>
    <x v="1"/>
    <s v="Tuesday"/>
    <x v="3"/>
    <n v="3"/>
    <n v="295.02"/>
    <n v="885.06"/>
    <x v="3"/>
    <x v="1"/>
  </r>
  <r>
    <s v="CUS-5642-KL"/>
    <x v="2"/>
    <x v="0"/>
    <x v="1"/>
    <d v="2023-05-11T00:00:00"/>
    <n v="660"/>
    <n v="8"/>
    <x v="1"/>
    <s v="Thursday"/>
    <x v="3"/>
    <n v="4"/>
    <n v="369.19"/>
    <n v="1476.76"/>
    <x v="3"/>
    <x v="1"/>
  </r>
  <r>
    <s v="CUS-8679-AB"/>
    <x v="4"/>
    <x v="0"/>
    <x v="2"/>
    <d v="2023-01-29T00:00:00"/>
    <n v="131"/>
    <n v="1"/>
    <x v="2"/>
    <s v="Sunday"/>
    <x v="3"/>
    <n v="1"/>
    <n v="125.29"/>
    <n v="125.29"/>
    <x v="0"/>
    <x v="1"/>
  </r>
  <r>
    <s v="CUS-9208-AB"/>
    <x v="1"/>
    <x v="0"/>
    <x v="11"/>
    <d v="2023-10-10T00:00:00"/>
    <n v="490"/>
    <n v="8"/>
    <x v="1"/>
    <s v="Tuesday"/>
    <x v="3"/>
    <n v="4"/>
    <n v="401.28"/>
    <n v="1605.12"/>
    <x v="2"/>
    <x v="1"/>
  </r>
  <r>
    <s v="CUS-8339-AB"/>
    <x v="0"/>
    <x v="0"/>
    <x v="10"/>
    <d v="2023-04-14T00:00:00"/>
    <n v="376"/>
    <n v="4"/>
    <x v="0"/>
    <s v="Friday"/>
    <x v="4"/>
    <n v="3"/>
    <n v="312.7"/>
    <n v="938.1"/>
    <x v="3"/>
    <x v="1"/>
  </r>
  <r>
    <s v="CUS-3205-XY"/>
    <x v="4"/>
    <x v="0"/>
    <x v="0"/>
    <d v="2023-11-28T00:00:00"/>
    <n v="631"/>
    <n v="4"/>
    <x v="0"/>
    <s v="Tuesday"/>
    <x v="3"/>
    <n v="3"/>
    <n v="478.5"/>
    <n v="1435.5"/>
    <x v="1"/>
    <x v="1"/>
  </r>
  <r>
    <s v="CUS-2069-MN"/>
    <x v="3"/>
    <x v="0"/>
    <x v="3"/>
    <d v="2023-07-16T00:00:00"/>
    <n v="253"/>
    <n v="4"/>
    <x v="0"/>
    <s v="Sunday"/>
    <x v="4"/>
    <n v="4"/>
    <n v="69.09"/>
    <n v="276.36"/>
    <x v="3"/>
    <x v="1"/>
  </r>
  <r>
    <s v="CUS-4444-MN"/>
    <x v="1"/>
    <x v="0"/>
    <x v="11"/>
    <d v="2023-10-26T00:00:00"/>
    <n v="482"/>
    <n v="6"/>
    <x v="0"/>
    <s v="Thursday"/>
    <x v="4"/>
    <n v="3"/>
    <n v="169.4"/>
    <n v="508.2"/>
    <x v="0"/>
    <x v="1"/>
  </r>
  <r>
    <s v="CUS-2060-AB"/>
    <x v="2"/>
    <x v="0"/>
    <x v="4"/>
    <d v="2023-12-31T00:00:00"/>
    <n v="167"/>
    <n v="7"/>
    <x v="1"/>
    <s v="Sunday"/>
    <x v="0"/>
    <n v="1"/>
    <n v="320.7"/>
    <n v="320.7"/>
    <x v="0"/>
    <x v="1"/>
  </r>
  <r>
    <s v="CUS-3327-AB"/>
    <x v="3"/>
    <x v="0"/>
    <x v="0"/>
    <d v="2023-11-09T00:00:00"/>
    <n v="977"/>
    <n v="6"/>
    <x v="0"/>
    <s v="Thursday"/>
    <x v="0"/>
    <n v="4"/>
    <n v="183.45"/>
    <n v="733.8"/>
    <x v="2"/>
    <x v="1"/>
  </r>
  <r>
    <s v="CUS-4420-KL"/>
    <x v="3"/>
    <x v="0"/>
    <x v="0"/>
    <d v="2023-11-14T00:00:00"/>
    <n v="983"/>
    <n v="1"/>
    <x v="2"/>
    <s v="Tuesday"/>
    <x v="0"/>
    <n v="3"/>
    <n v="371.49"/>
    <n v="1114.47"/>
    <x v="3"/>
    <x v="1"/>
  </r>
  <r>
    <s v="CUS-1301-XY"/>
    <x v="2"/>
    <x v="0"/>
    <x v="6"/>
    <d v="2023-06-06T00:00:00"/>
    <n v="313"/>
    <n v="8"/>
    <x v="1"/>
    <s v="Tuesday"/>
    <x v="1"/>
    <n v="4"/>
    <n v="391.55"/>
    <n v="1566.2"/>
    <x v="3"/>
    <x v="1"/>
  </r>
  <r>
    <s v="CUS-1606-AB"/>
    <x v="4"/>
    <x v="0"/>
    <x v="3"/>
    <d v="2023-07-28T00:00:00"/>
    <n v="754"/>
    <n v="7"/>
    <x v="1"/>
    <s v="Friday"/>
    <x v="1"/>
    <n v="1"/>
    <n v="96.13"/>
    <n v="96.13"/>
    <x v="1"/>
    <x v="1"/>
  </r>
  <r>
    <s v="CUS-4170-AB"/>
    <x v="0"/>
    <x v="0"/>
    <x v="10"/>
    <d v="2023-04-09T00:00:00"/>
    <n v="475"/>
    <n v="6"/>
    <x v="0"/>
    <s v="Sunday"/>
    <x v="1"/>
    <n v="3"/>
    <n v="281.23"/>
    <n v="843.69"/>
    <x v="2"/>
    <x v="1"/>
  </r>
  <r>
    <s v="CUS-1699-AB"/>
    <x v="3"/>
    <x v="0"/>
    <x v="8"/>
    <d v="2023-03-19T00:00:00"/>
    <n v="843"/>
    <n v="6"/>
    <x v="0"/>
    <s v="Sunday"/>
    <x v="1"/>
    <n v="1"/>
    <n v="279"/>
    <n v="279"/>
    <x v="3"/>
    <x v="1"/>
  </r>
  <r>
    <s v="CUS-6088-XY"/>
    <x v="2"/>
    <x v="0"/>
    <x v="3"/>
    <d v="2023-07-09T00:00:00"/>
    <n v="312"/>
    <n v="5"/>
    <x v="0"/>
    <s v="Sunday"/>
    <x v="3"/>
    <n v="3"/>
    <n v="216.18"/>
    <n v="648.54"/>
    <x v="2"/>
    <x v="1"/>
  </r>
  <r>
    <s v="CUS-1190-AB"/>
    <x v="1"/>
    <x v="0"/>
    <x v="9"/>
    <d v="2023-08-12T00:00:00"/>
    <n v="178"/>
    <n v="6"/>
    <x v="0"/>
    <s v="Saturday"/>
    <x v="2"/>
    <n v="2"/>
    <n v="469.82"/>
    <n v="939.64"/>
    <x v="3"/>
    <x v="1"/>
  </r>
  <r>
    <s v="CUS-1980-MN"/>
    <x v="0"/>
    <x v="0"/>
    <x v="1"/>
    <d v="2023-05-13T00:00:00"/>
    <n v="825"/>
    <n v="9"/>
    <x v="1"/>
    <s v="Saturday"/>
    <x v="4"/>
    <n v="3"/>
    <n v="422.38"/>
    <n v="1267.1400000000001"/>
    <x v="1"/>
    <x v="1"/>
  </r>
  <r>
    <s v="CUS-3975-KL"/>
    <x v="3"/>
    <x v="0"/>
    <x v="9"/>
    <d v="2023-08-05T00:00:00"/>
    <n v="727"/>
    <n v="9"/>
    <x v="1"/>
    <s v="Saturday"/>
    <x v="1"/>
    <n v="4"/>
    <n v="363.74"/>
    <n v="1454.96"/>
    <x v="3"/>
    <x v="1"/>
  </r>
  <r>
    <s v="CUS-7102-MN"/>
    <x v="4"/>
    <x v="0"/>
    <x v="0"/>
    <d v="2023-11-28T00:00:00"/>
    <n v="703"/>
    <n v="8"/>
    <x v="1"/>
    <s v="Tuesday"/>
    <x v="4"/>
    <n v="3"/>
    <n v="371.45"/>
    <n v="1114.3499999999999"/>
    <x v="0"/>
    <x v="1"/>
  </r>
  <r>
    <s v="CUS-2184-XY"/>
    <x v="1"/>
    <x v="0"/>
    <x v="9"/>
    <d v="2023-08-01T00:00:00"/>
    <n v="881"/>
    <n v="9"/>
    <x v="1"/>
    <s v="Tuesday"/>
    <x v="2"/>
    <n v="1"/>
    <n v="257.77"/>
    <n v="257.77"/>
    <x v="2"/>
    <x v="1"/>
  </r>
  <r>
    <s v="CUS-4327-MN"/>
    <x v="2"/>
    <x v="0"/>
    <x v="7"/>
    <d v="2023-09-29T00:00:00"/>
    <n v="480"/>
    <n v="8"/>
    <x v="1"/>
    <s v="Friday"/>
    <x v="0"/>
    <n v="1"/>
    <n v="464.45"/>
    <n v="464.45"/>
    <x v="3"/>
    <x v="1"/>
  </r>
  <r>
    <s v="CUS-4394-AB"/>
    <x v="1"/>
    <x v="0"/>
    <x v="11"/>
    <d v="2023-10-29T00:00:00"/>
    <n v="779"/>
    <n v="8"/>
    <x v="1"/>
    <s v="Sunday"/>
    <x v="2"/>
    <n v="3"/>
    <n v="362.57"/>
    <n v="1087.71"/>
    <x v="2"/>
    <x v="1"/>
  </r>
  <r>
    <s v="CUS-9319-KL"/>
    <x v="0"/>
    <x v="0"/>
    <x v="4"/>
    <d v="2023-12-28T00:00:00"/>
    <n v="157"/>
    <n v="1"/>
    <x v="2"/>
    <s v="Thursday"/>
    <x v="1"/>
    <n v="4"/>
    <n v="378.04"/>
    <n v="1512.16"/>
    <x v="0"/>
    <x v="1"/>
  </r>
  <r>
    <s v="CUS-2816-MN"/>
    <x v="1"/>
    <x v="0"/>
    <x v="9"/>
    <d v="2023-08-14T00:00:00"/>
    <n v="895"/>
    <n v="5"/>
    <x v="0"/>
    <s v="Monday"/>
    <x v="1"/>
    <n v="2"/>
    <n v="437.76"/>
    <n v="875.52"/>
    <x v="0"/>
    <x v="1"/>
  </r>
  <r>
    <s v="CUS-6854-XY"/>
    <x v="0"/>
    <x v="0"/>
    <x v="11"/>
    <d v="2023-10-26T00:00:00"/>
    <n v="125"/>
    <n v="4"/>
    <x v="0"/>
    <s v="Thursday"/>
    <x v="1"/>
    <n v="4"/>
    <n v="173.33"/>
    <n v="693.32"/>
    <x v="0"/>
    <x v="1"/>
  </r>
  <r>
    <s v="CUS-7709-MN"/>
    <x v="2"/>
    <x v="0"/>
    <x v="4"/>
    <d v="2023-12-20T00:00:00"/>
    <n v="980"/>
    <n v="2"/>
    <x v="2"/>
    <s v="Wednesday"/>
    <x v="0"/>
    <n v="2"/>
    <n v="413.18"/>
    <n v="826.36"/>
    <x v="2"/>
    <x v="1"/>
  </r>
  <r>
    <s v="CUS-1569-XY"/>
    <x v="4"/>
    <x v="0"/>
    <x v="4"/>
    <d v="2023-12-19T00:00:00"/>
    <n v="546"/>
    <n v="8"/>
    <x v="1"/>
    <s v="Tuesday"/>
    <x v="3"/>
    <n v="1"/>
    <n v="137.86000000000001"/>
    <n v="137.86000000000001"/>
    <x v="3"/>
    <x v="1"/>
  </r>
  <r>
    <s v="CUS-6442-XY"/>
    <x v="1"/>
    <x v="0"/>
    <x v="5"/>
    <d v="2023-02-24T00:00:00"/>
    <n v="165"/>
    <n v="3"/>
    <x v="0"/>
    <s v="Friday"/>
    <x v="0"/>
    <n v="4"/>
    <n v="205.4"/>
    <n v="821.6"/>
    <x v="3"/>
    <x v="1"/>
  </r>
  <r>
    <s v="CUS-2895-AB"/>
    <x v="3"/>
    <x v="0"/>
    <x v="6"/>
    <d v="2023-06-02T00:00:00"/>
    <n v="859"/>
    <n v="4"/>
    <x v="0"/>
    <s v="Friday"/>
    <x v="0"/>
    <n v="2"/>
    <n v="201.02"/>
    <n v="402.04"/>
    <x v="3"/>
    <x v="1"/>
  </r>
  <r>
    <s v="CUS-3733-AB"/>
    <x v="1"/>
    <x v="0"/>
    <x v="1"/>
    <d v="2023-05-06T00:00:00"/>
    <n v="353"/>
    <n v="7"/>
    <x v="1"/>
    <s v="Saturday"/>
    <x v="3"/>
    <n v="3"/>
    <n v="490.34"/>
    <n v="1471.02"/>
    <x v="3"/>
    <x v="1"/>
  </r>
  <r>
    <s v="CUS-4863-MN"/>
    <x v="3"/>
    <x v="0"/>
    <x v="5"/>
    <d v="2023-02-10T00:00:00"/>
    <n v="998"/>
    <n v="9"/>
    <x v="1"/>
    <s v="Friday"/>
    <x v="3"/>
    <n v="1"/>
    <n v="435.44"/>
    <n v="435.44"/>
    <x v="1"/>
    <x v="1"/>
  </r>
  <r>
    <s v="CUS-8455-XY"/>
    <x v="3"/>
    <x v="0"/>
    <x v="9"/>
    <d v="2023-08-22T00:00:00"/>
    <n v="143"/>
    <n v="2"/>
    <x v="2"/>
    <s v="Tuesday"/>
    <x v="4"/>
    <n v="3"/>
    <n v="365.53"/>
    <n v="1096.5899999999999"/>
    <x v="2"/>
    <x v="1"/>
  </r>
  <r>
    <s v="CUS-5014-KL"/>
    <x v="0"/>
    <x v="0"/>
    <x v="7"/>
    <d v="2023-09-29T00:00:00"/>
    <n v="196"/>
    <n v="3"/>
    <x v="0"/>
    <s v="Friday"/>
    <x v="2"/>
    <n v="1"/>
    <n v="377.18"/>
    <n v="377.18"/>
    <x v="1"/>
    <x v="1"/>
  </r>
  <r>
    <s v="CUS-2686-AB"/>
    <x v="1"/>
    <x v="0"/>
    <x v="0"/>
    <d v="2023-11-10T00:00:00"/>
    <n v="653"/>
    <n v="4"/>
    <x v="0"/>
    <s v="Friday"/>
    <x v="1"/>
    <n v="4"/>
    <n v="302.93"/>
    <n v="1211.72"/>
    <x v="1"/>
    <x v="1"/>
  </r>
  <r>
    <s v="CUS-4009-AB"/>
    <x v="0"/>
    <x v="0"/>
    <x v="5"/>
    <d v="2023-02-15T00:00:00"/>
    <n v="326"/>
    <n v="1"/>
    <x v="2"/>
    <s v="Wednesday"/>
    <x v="1"/>
    <n v="4"/>
    <n v="476.19"/>
    <n v="1904.76"/>
    <x v="1"/>
    <x v="1"/>
  </r>
  <r>
    <s v="CUS-8806-XY"/>
    <x v="2"/>
    <x v="0"/>
    <x v="0"/>
    <d v="2023-11-23T00:00:00"/>
    <n v="873"/>
    <n v="7"/>
    <x v="1"/>
    <s v="Thursday"/>
    <x v="0"/>
    <n v="1"/>
    <n v="273.32"/>
    <n v="273.32"/>
    <x v="2"/>
    <x v="1"/>
  </r>
  <r>
    <s v="CUS-1154-AB"/>
    <x v="3"/>
    <x v="0"/>
    <x v="9"/>
    <d v="2023-08-25T00:00:00"/>
    <n v="778"/>
    <n v="2"/>
    <x v="2"/>
    <s v="Friday"/>
    <x v="1"/>
    <n v="1"/>
    <n v="221.23"/>
    <n v="221.23"/>
    <x v="3"/>
    <x v="1"/>
  </r>
  <r>
    <s v="CUS-2409-AB"/>
    <x v="2"/>
    <x v="0"/>
    <x v="7"/>
    <d v="2023-09-19T00:00:00"/>
    <n v="535"/>
    <n v="5"/>
    <x v="0"/>
    <s v="Tuesday"/>
    <x v="0"/>
    <n v="1"/>
    <n v="123.37"/>
    <n v="123.37"/>
    <x v="3"/>
    <x v="1"/>
  </r>
  <r>
    <s v="CUS-1784-KL"/>
    <x v="1"/>
    <x v="0"/>
    <x v="0"/>
    <d v="2023-11-30T00:00:00"/>
    <n v="890"/>
    <n v="1"/>
    <x v="2"/>
    <s v="Thursday"/>
    <x v="2"/>
    <n v="4"/>
    <n v="403.79"/>
    <n v="1615.16"/>
    <x v="1"/>
    <x v="1"/>
  </r>
  <r>
    <s v="CUS-9096-MN"/>
    <x v="0"/>
    <x v="0"/>
    <x v="9"/>
    <d v="2023-08-20T00:00:00"/>
    <n v="700"/>
    <n v="3"/>
    <x v="0"/>
    <s v="Sunday"/>
    <x v="2"/>
    <n v="2"/>
    <n v="380.5"/>
    <n v="761"/>
    <x v="0"/>
    <x v="1"/>
  </r>
  <r>
    <s v="CUS-8560-MN"/>
    <x v="3"/>
    <x v="0"/>
    <x v="1"/>
    <d v="2023-05-05T00:00:00"/>
    <n v="478"/>
    <n v="2"/>
    <x v="2"/>
    <s v="Friday"/>
    <x v="2"/>
    <n v="3"/>
    <n v="222.96"/>
    <n v="668.88"/>
    <x v="0"/>
    <x v="1"/>
  </r>
  <r>
    <s v="CUS-8343-XY"/>
    <x v="4"/>
    <x v="0"/>
    <x v="11"/>
    <d v="2023-10-30T00:00:00"/>
    <n v="277"/>
    <n v="1"/>
    <x v="2"/>
    <s v="Monday"/>
    <x v="3"/>
    <n v="3"/>
    <n v="61.34"/>
    <n v="184.02"/>
    <x v="2"/>
    <x v="1"/>
  </r>
  <r>
    <s v="CUS-8206-XY"/>
    <x v="2"/>
    <x v="0"/>
    <x v="1"/>
    <d v="2023-05-20T00:00:00"/>
    <n v="526"/>
    <n v="7"/>
    <x v="1"/>
    <s v="Saturday"/>
    <x v="2"/>
    <n v="4"/>
    <n v="427.55"/>
    <n v="1710.2"/>
    <x v="2"/>
    <x v="1"/>
  </r>
  <r>
    <s v="CUS-6596-AB"/>
    <x v="4"/>
    <x v="0"/>
    <x v="2"/>
    <d v="2023-01-18T00:00:00"/>
    <n v="808"/>
    <n v="5"/>
    <x v="0"/>
    <s v="Wednesday"/>
    <x v="1"/>
    <n v="3"/>
    <n v="55.14"/>
    <n v="165.42"/>
    <x v="1"/>
    <x v="1"/>
  </r>
  <r>
    <s v="CUS-6801-XY"/>
    <x v="2"/>
    <x v="0"/>
    <x v="0"/>
    <d v="2023-11-01T00:00:00"/>
    <n v="406"/>
    <n v="1"/>
    <x v="2"/>
    <s v="Wednesday"/>
    <x v="1"/>
    <n v="1"/>
    <n v="366.66"/>
    <n v="366.66"/>
    <x v="0"/>
    <x v="1"/>
  </r>
  <r>
    <s v="CUS-3806-AB"/>
    <x v="1"/>
    <x v="0"/>
    <x v="1"/>
    <d v="2023-05-12T00:00:00"/>
    <n v="878"/>
    <n v="6"/>
    <x v="0"/>
    <s v="Friday"/>
    <x v="4"/>
    <n v="2"/>
    <n v="486.62"/>
    <n v="973.24"/>
    <x v="1"/>
    <x v="1"/>
  </r>
  <r>
    <s v="CUS-1537-MN"/>
    <x v="2"/>
    <x v="0"/>
    <x v="11"/>
    <d v="2023-10-15T00:00:00"/>
    <n v="603"/>
    <n v="5"/>
    <x v="0"/>
    <s v="Sunday"/>
    <x v="4"/>
    <n v="3"/>
    <n v="246.95"/>
    <n v="740.85"/>
    <x v="1"/>
    <x v="1"/>
  </r>
  <r>
    <s v="CUS-6986-KL"/>
    <x v="0"/>
    <x v="0"/>
    <x v="1"/>
    <d v="2023-05-16T00:00:00"/>
    <n v="367"/>
    <n v="3"/>
    <x v="0"/>
    <s v="Tuesday"/>
    <x v="4"/>
    <n v="2"/>
    <n v="155.74"/>
    <n v="311.48"/>
    <x v="0"/>
    <x v="1"/>
  </r>
  <r>
    <s v="CUS-2841-MN"/>
    <x v="1"/>
    <x v="0"/>
    <x v="0"/>
    <d v="2023-11-18T00:00:00"/>
    <n v="685"/>
    <n v="7"/>
    <x v="1"/>
    <s v="Saturday"/>
    <x v="2"/>
    <n v="1"/>
    <n v="367.19"/>
    <n v="367.19"/>
    <x v="1"/>
    <x v="1"/>
  </r>
  <r>
    <s v="CUS-9716-AB"/>
    <x v="4"/>
    <x v="0"/>
    <x v="8"/>
    <d v="2023-03-31T00:00:00"/>
    <n v="107"/>
    <n v="9"/>
    <x v="1"/>
    <s v="Friday"/>
    <x v="3"/>
    <n v="3"/>
    <n v="417.71"/>
    <n v="1253.1300000000001"/>
    <x v="3"/>
    <x v="1"/>
  </r>
  <r>
    <s v="CUS-7971-XY"/>
    <x v="0"/>
    <x v="0"/>
    <x v="4"/>
    <d v="2023-12-31T00:00:00"/>
    <n v="607"/>
    <n v="9"/>
    <x v="1"/>
    <s v="Sunday"/>
    <x v="2"/>
    <n v="4"/>
    <n v="295.89"/>
    <n v="1183.56"/>
    <x v="3"/>
    <x v="1"/>
  </r>
  <r>
    <s v="CUS-6625-MN"/>
    <x v="4"/>
    <x v="0"/>
    <x v="11"/>
    <d v="2023-10-21T00:00:00"/>
    <n v="575"/>
    <n v="9"/>
    <x v="1"/>
    <s v="Saturday"/>
    <x v="0"/>
    <n v="2"/>
    <n v="485.17"/>
    <n v="970.34"/>
    <x v="3"/>
    <x v="1"/>
  </r>
  <r>
    <s v="CUS-3950-XY"/>
    <x v="4"/>
    <x v="0"/>
    <x v="5"/>
    <d v="2023-02-13T00:00:00"/>
    <n v="396"/>
    <n v="2"/>
    <x v="2"/>
    <s v="Monday"/>
    <x v="0"/>
    <n v="1"/>
    <n v="73.25"/>
    <n v="73.25"/>
    <x v="3"/>
    <x v="1"/>
  </r>
  <r>
    <s v="CUS-8992-XY"/>
    <x v="0"/>
    <x v="0"/>
    <x v="3"/>
    <d v="2023-07-29T00:00:00"/>
    <n v="263"/>
    <n v="3"/>
    <x v="0"/>
    <s v="Saturday"/>
    <x v="2"/>
    <n v="2"/>
    <n v="277.16000000000003"/>
    <n v="554.32000000000005"/>
    <x v="0"/>
    <x v="1"/>
  </r>
  <r>
    <s v="CUS-5780-KL"/>
    <x v="4"/>
    <x v="1"/>
    <x v="2"/>
    <d v="2024-01-02T00:00:00"/>
    <n v="584"/>
    <n v="7"/>
    <x v="1"/>
    <s v="Tuesday"/>
    <x v="1"/>
    <n v="3"/>
    <n v="373.3"/>
    <n v="1119.9000000000001"/>
    <x v="3"/>
    <x v="1"/>
  </r>
  <r>
    <s v="CUS-3368-MN"/>
    <x v="3"/>
    <x v="0"/>
    <x v="6"/>
    <d v="2023-06-26T00:00:00"/>
    <n v="696"/>
    <n v="5"/>
    <x v="0"/>
    <s v="Monday"/>
    <x v="3"/>
    <n v="3"/>
    <n v="438.19"/>
    <n v="1314.57"/>
    <x v="1"/>
    <x v="1"/>
  </r>
  <r>
    <s v="CUS-7655-AB"/>
    <x v="2"/>
    <x v="0"/>
    <x v="8"/>
    <d v="2023-03-10T00:00:00"/>
    <n v="171"/>
    <n v="2"/>
    <x v="2"/>
    <s v="Friday"/>
    <x v="2"/>
    <n v="4"/>
    <n v="130.66999999999999"/>
    <n v="522.67999999999995"/>
    <x v="2"/>
    <x v="1"/>
  </r>
  <r>
    <s v="CUS-9173-AB"/>
    <x v="0"/>
    <x v="0"/>
    <x v="6"/>
    <d v="2023-06-29T00:00:00"/>
    <n v="666"/>
    <n v="3"/>
    <x v="0"/>
    <s v="Thursday"/>
    <x v="4"/>
    <n v="1"/>
    <n v="410"/>
    <n v="410"/>
    <x v="1"/>
    <x v="1"/>
  </r>
  <r>
    <s v="CUS-5495-KL"/>
    <x v="4"/>
    <x v="0"/>
    <x v="3"/>
    <d v="2023-07-13T00:00:00"/>
    <n v="658"/>
    <n v="6"/>
    <x v="0"/>
    <s v="Thursday"/>
    <x v="1"/>
    <n v="1"/>
    <n v="298.72000000000003"/>
    <n v="298.72000000000003"/>
    <x v="0"/>
    <x v="1"/>
  </r>
  <r>
    <s v="CUS-7002-XY"/>
    <x v="4"/>
    <x v="0"/>
    <x v="11"/>
    <d v="2023-10-05T00:00:00"/>
    <n v="337"/>
    <n v="7"/>
    <x v="1"/>
    <s v="Thursday"/>
    <x v="4"/>
    <n v="4"/>
    <n v="228.45"/>
    <n v="913.8"/>
    <x v="0"/>
    <x v="1"/>
  </r>
  <r>
    <s v="CUS-7614-XY"/>
    <x v="3"/>
    <x v="0"/>
    <x v="7"/>
    <d v="2023-09-22T00:00:00"/>
    <n v="203"/>
    <n v="9"/>
    <x v="1"/>
    <s v="Friday"/>
    <x v="0"/>
    <n v="4"/>
    <n v="109.27"/>
    <n v="437.08"/>
    <x v="2"/>
    <x v="1"/>
  </r>
  <r>
    <s v="CUS-6919-AB"/>
    <x v="1"/>
    <x v="0"/>
    <x v="1"/>
    <d v="2023-05-28T00:00:00"/>
    <n v="309"/>
    <n v="1"/>
    <x v="2"/>
    <s v="Sunday"/>
    <x v="0"/>
    <n v="1"/>
    <n v="439.38"/>
    <n v="439.38"/>
    <x v="2"/>
    <x v="1"/>
  </r>
  <r>
    <s v="CUS-1853-KL"/>
    <x v="4"/>
    <x v="0"/>
    <x v="8"/>
    <d v="2023-03-28T00:00:00"/>
    <n v="653"/>
    <n v="7"/>
    <x v="1"/>
    <s v="Tuesday"/>
    <x v="2"/>
    <n v="2"/>
    <n v="120.77"/>
    <n v="241.54"/>
    <x v="0"/>
    <x v="1"/>
  </r>
  <r>
    <s v="CUS-5146-MN"/>
    <x v="4"/>
    <x v="0"/>
    <x v="7"/>
    <d v="2023-09-01T00:00:00"/>
    <n v="927"/>
    <n v="8"/>
    <x v="1"/>
    <s v="Friday"/>
    <x v="4"/>
    <n v="2"/>
    <n v="189.4"/>
    <n v="378.8"/>
    <x v="1"/>
    <x v="1"/>
  </r>
  <r>
    <s v="CUS-4769-XY"/>
    <x v="2"/>
    <x v="0"/>
    <x v="6"/>
    <d v="2023-06-06T00:00:00"/>
    <n v="567"/>
    <n v="3"/>
    <x v="0"/>
    <s v="Tuesday"/>
    <x v="1"/>
    <n v="4"/>
    <n v="180.52"/>
    <n v="722.08"/>
    <x v="3"/>
    <x v="1"/>
  </r>
  <r>
    <s v="CUS-1574-AB"/>
    <x v="0"/>
    <x v="0"/>
    <x v="5"/>
    <d v="2023-02-22T00:00:00"/>
    <n v="553"/>
    <n v="4"/>
    <x v="0"/>
    <s v="Wednesday"/>
    <x v="2"/>
    <n v="2"/>
    <n v="442.14"/>
    <n v="884.28"/>
    <x v="1"/>
    <x v="1"/>
  </r>
  <r>
    <s v="CUS-2148-XY"/>
    <x v="3"/>
    <x v="0"/>
    <x v="4"/>
    <d v="2023-12-01T00:00:00"/>
    <n v="367"/>
    <n v="6"/>
    <x v="0"/>
    <s v="Friday"/>
    <x v="0"/>
    <n v="1"/>
    <n v="352.72"/>
    <n v="352.72"/>
    <x v="3"/>
    <x v="1"/>
  </r>
  <r>
    <s v="CUS-7293-MN"/>
    <x v="0"/>
    <x v="0"/>
    <x v="7"/>
    <d v="2023-09-17T00:00:00"/>
    <n v="485"/>
    <n v="7"/>
    <x v="1"/>
    <s v="Sunday"/>
    <x v="4"/>
    <n v="3"/>
    <n v="408.51"/>
    <n v="1225.53"/>
    <x v="3"/>
    <x v="1"/>
  </r>
  <r>
    <s v="CUS-7457-AB"/>
    <x v="4"/>
    <x v="0"/>
    <x v="7"/>
    <d v="2023-09-11T00:00:00"/>
    <n v="874"/>
    <n v="4"/>
    <x v="0"/>
    <s v="Monday"/>
    <x v="4"/>
    <n v="3"/>
    <n v="162.71"/>
    <n v="488.13"/>
    <x v="3"/>
    <x v="1"/>
  </r>
  <r>
    <s v="CUS-8509-KL"/>
    <x v="0"/>
    <x v="0"/>
    <x v="0"/>
    <d v="2023-11-05T00:00:00"/>
    <n v="947"/>
    <n v="8"/>
    <x v="1"/>
    <s v="Sunday"/>
    <x v="3"/>
    <n v="2"/>
    <n v="331.19"/>
    <n v="662.38"/>
    <x v="2"/>
    <x v="1"/>
  </r>
  <r>
    <s v="CUS-5777-MN"/>
    <x v="0"/>
    <x v="0"/>
    <x v="3"/>
    <d v="2023-07-18T00:00:00"/>
    <n v="486"/>
    <n v="5"/>
    <x v="0"/>
    <s v="Tuesday"/>
    <x v="1"/>
    <n v="4"/>
    <n v="307.29000000000002"/>
    <n v="1229.1600000000001"/>
    <x v="2"/>
    <x v="1"/>
  </r>
  <r>
    <s v="CUS-4854-MN"/>
    <x v="3"/>
    <x v="0"/>
    <x v="11"/>
    <d v="2023-10-26T00:00:00"/>
    <n v="976"/>
    <n v="1"/>
    <x v="2"/>
    <s v="Thursday"/>
    <x v="3"/>
    <n v="4"/>
    <n v="424.77"/>
    <n v="1699.08"/>
    <x v="2"/>
    <x v="1"/>
  </r>
  <r>
    <s v="CUS-3491-XY"/>
    <x v="1"/>
    <x v="0"/>
    <x v="3"/>
    <d v="2023-07-05T00:00:00"/>
    <n v="358"/>
    <n v="4"/>
    <x v="0"/>
    <s v="Wednesday"/>
    <x v="4"/>
    <n v="4"/>
    <n v="457.74"/>
    <n v="1830.96"/>
    <x v="3"/>
    <x v="1"/>
  </r>
  <r>
    <s v="CUS-4124-KL"/>
    <x v="0"/>
    <x v="0"/>
    <x v="2"/>
    <d v="2023-01-28T00:00:00"/>
    <n v="382"/>
    <n v="3"/>
    <x v="0"/>
    <s v="Saturday"/>
    <x v="3"/>
    <n v="4"/>
    <n v="55.47"/>
    <n v="221.88"/>
    <x v="2"/>
    <x v="1"/>
  </r>
  <r>
    <s v="CUS-6691-AB"/>
    <x v="0"/>
    <x v="0"/>
    <x v="6"/>
    <d v="2023-06-06T00:00:00"/>
    <n v="725"/>
    <n v="9"/>
    <x v="1"/>
    <s v="Tuesday"/>
    <x v="1"/>
    <n v="4"/>
    <n v="353.31"/>
    <n v="1413.24"/>
    <x v="2"/>
    <x v="1"/>
  </r>
  <r>
    <s v="CUS-4051-AB"/>
    <x v="4"/>
    <x v="0"/>
    <x v="3"/>
    <d v="2023-07-09T00:00:00"/>
    <n v="974"/>
    <n v="8"/>
    <x v="1"/>
    <s v="Sunday"/>
    <x v="4"/>
    <n v="2"/>
    <n v="73.33"/>
    <n v="146.66"/>
    <x v="3"/>
    <x v="1"/>
  </r>
  <r>
    <s v="CUS-1004-KL"/>
    <x v="2"/>
    <x v="0"/>
    <x v="7"/>
    <d v="2023-09-21T00:00:00"/>
    <n v="139"/>
    <n v="1"/>
    <x v="2"/>
    <s v="Thursday"/>
    <x v="4"/>
    <n v="3"/>
    <n v="296.99"/>
    <n v="890.97"/>
    <x v="3"/>
    <x v="1"/>
  </r>
  <r>
    <s v="CUS-6222-AB"/>
    <x v="4"/>
    <x v="0"/>
    <x v="5"/>
    <d v="2023-02-14T00:00:00"/>
    <n v="585"/>
    <n v="6"/>
    <x v="0"/>
    <s v="Tuesday"/>
    <x v="4"/>
    <n v="3"/>
    <n v="179.43"/>
    <n v="538.29"/>
    <x v="3"/>
    <x v="1"/>
  </r>
  <r>
    <s v="CUS-6315-XY"/>
    <x v="4"/>
    <x v="0"/>
    <x v="8"/>
    <d v="2023-03-02T00:00:00"/>
    <n v="319"/>
    <n v="9"/>
    <x v="1"/>
    <s v="Thursday"/>
    <x v="0"/>
    <n v="2"/>
    <n v="188.05"/>
    <n v="376.1"/>
    <x v="1"/>
    <x v="1"/>
  </r>
  <r>
    <s v="CUS-5869-MN"/>
    <x v="0"/>
    <x v="0"/>
    <x v="10"/>
    <d v="2023-04-14T00:00:00"/>
    <n v="228"/>
    <n v="7"/>
    <x v="1"/>
    <s v="Friday"/>
    <x v="0"/>
    <n v="4"/>
    <n v="208.83"/>
    <n v="835.32"/>
    <x v="1"/>
    <x v="1"/>
  </r>
  <r>
    <s v="CUS-1876-MN"/>
    <x v="1"/>
    <x v="0"/>
    <x v="10"/>
    <d v="2023-04-12T00:00:00"/>
    <n v="619"/>
    <n v="4"/>
    <x v="0"/>
    <s v="Wednesday"/>
    <x v="1"/>
    <n v="2"/>
    <n v="329.58"/>
    <n v="659.16"/>
    <x v="0"/>
    <x v="1"/>
  </r>
  <r>
    <s v="CUS-8027-XY"/>
    <x v="4"/>
    <x v="0"/>
    <x v="7"/>
    <d v="2023-09-26T00:00:00"/>
    <n v="712"/>
    <n v="1"/>
    <x v="2"/>
    <s v="Tuesday"/>
    <x v="4"/>
    <n v="3"/>
    <n v="200.32"/>
    <n v="600.96"/>
    <x v="0"/>
    <x v="1"/>
  </r>
  <r>
    <s v="CUS-5142-AB"/>
    <x v="2"/>
    <x v="0"/>
    <x v="10"/>
    <d v="2023-04-04T00:00:00"/>
    <n v="991"/>
    <n v="2"/>
    <x v="2"/>
    <s v="Tuesday"/>
    <x v="0"/>
    <n v="1"/>
    <n v="379.71"/>
    <n v="379.71"/>
    <x v="0"/>
    <x v="1"/>
  </r>
  <r>
    <s v="CUS-7966-KL"/>
    <x v="4"/>
    <x v="0"/>
    <x v="9"/>
    <d v="2023-08-25T00:00:00"/>
    <n v="787"/>
    <n v="5"/>
    <x v="0"/>
    <s v="Friday"/>
    <x v="1"/>
    <n v="2"/>
    <n v="232.04"/>
    <n v="464.08"/>
    <x v="2"/>
    <x v="1"/>
  </r>
  <r>
    <s v="CUS-8079-AB"/>
    <x v="2"/>
    <x v="0"/>
    <x v="3"/>
    <d v="2023-07-05T00:00:00"/>
    <n v="718"/>
    <n v="5"/>
    <x v="0"/>
    <s v="Wednesday"/>
    <x v="1"/>
    <n v="4"/>
    <n v="80.760000000000005"/>
    <n v="323.04000000000002"/>
    <x v="1"/>
    <x v="1"/>
  </r>
  <r>
    <s v="CUS-8987-XY"/>
    <x v="4"/>
    <x v="0"/>
    <x v="9"/>
    <d v="2023-08-06T00:00:00"/>
    <n v="712"/>
    <n v="8"/>
    <x v="1"/>
    <s v="Sunday"/>
    <x v="0"/>
    <n v="3"/>
    <n v="402.69"/>
    <n v="1208.07"/>
    <x v="1"/>
    <x v="1"/>
  </r>
  <r>
    <s v="CUS-7799-XY"/>
    <x v="2"/>
    <x v="0"/>
    <x v="0"/>
    <d v="2023-11-08T00:00:00"/>
    <n v="359"/>
    <n v="6"/>
    <x v="0"/>
    <s v="Wednesday"/>
    <x v="1"/>
    <n v="3"/>
    <n v="178.59"/>
    <n v="535.77"/>
    <x v="3"/>
    <x v="1"/>
  </r>
  <r>
    <s v="CUS-5465-MN"/>
    <x v="2"/>
    <x v="0"/>
    <x v="6"/>
    <d v="2023-06-05T00:00:00"/>
    <n v="465"/>
    <n v="8"/>
    <x v="1"/>
    <s v="Monday"/>
    <x v="0"/>
    <n v="3"/>
    <n v="244.75"/>
    <n v="734.25"/>
    <x v="2"/>
    <x v="1"/>
  </r>
  <r>
    <s v="CUS-1635-XY"/>
    <x v="2"/>
    <x v="0"/>
    <x v="11"/>
    <d v="2023-10-11T00:00:00"/>
    <n v="857"/>
    <n v="2"/>
    <x v="2"/>
    <s v="Wednesday"/>
    <x v="3"/>
    <n v="3"/>
    <n v="358.45"/>
    <n v="1075.3499999999999"/>
    <x v="1"/>
    <x v="1"/>
  </r>
  <r>
    <s v="CUS-2693-MN"/>
    <x v="4"/>
    <x v="0"/>
    <x v="6"/>
    <d v="2023-06-07T00:00:00"/>
    <n v="886"/>
    <n v="3"/>
    <x v="0"/>
    <s v="Wednesday"/>
    <x v="2"/>
    <n v="4"/>
    <n v="199.61"/>
    <n v="798.44"/>
    <x v="0"/>
    <x v="1"/>
  </r>
  <r>
    <s v="CUS-5752-XY"/>
    <x v="2"/>
    <x v="0"/>
    <x v="1"/>
    <d v="2023-05-16T00:00:00"/>
    <n v="643"/>
    <n v="6"/>
    <x v="0"/>
    <s v="Tuesday"/>
    <x v="3"/>
    <n v="1"/>
    <n v="75.459999999999994"/>
    <n v="75.459999999999994"/>
    <x v="2"/>
    <x v="1"/>
  </r>
  <r>
    <s v="CUS-9311-XY"/>
    <x v="3"/>
    <x v="0"/>
    <x v="4"/>
    <d v="2023-12-19T00:00:00"/>
    <n v="748"/>
    <n v="3"/>
    <x v="0"/>
    <s v="Tuesday"/>
    <x v="3"/>
    <n v="3"/>
    <n v="218.26"/>
    <n v="654.78"/>
    <x v="3"/>
    <x v="1"/>
  </r>
  <r>
    <s v="CUS-1830-XY"/>
    <x v="0"/>
    <x v="0"/>
    <x v="8"/>
    <d v="2023-03-15T00:00:00"/>
    <n v="623"/>
    <n v="6"/>
    <x v="0"/>
    <s v="Wednesday"/>
    <x v="2"/>
    <n v="2"/>
    <n v="475"/>
    <n v="950"/>
    <x v="1"/>
    <x v="1"/>
  </r>
  <r>
    <s v="CUS-6177-KL"/>
    <x v="0"/>
    <x v="0"/>
    <x v="5"/>
    <d v="2023-02-08T00:00:00"/>
    <n v="913"/>
    <n v="6"/>
    <x v="0"/>
    <s v="Wednesday"/>
    <x v="2"/>
    <n v="1"/>
    <n v="338.78"/>
    <n v="338.78"/>
    <x v="1"/>
    <x v="1"/>
  </r>
  <r>
    <s v="CUS-9932-KL"/>
    <x v="4"/>
    <x v="0"/>
    <x v="11"/>
    <d v="2023-10-11T00:00:00"/>
    <n v="986"/>
    <n v="2"/>
    <x v="2"/>
    <s v="Wednesday"/>
    <x v="3"/>
    <n v="3"/>
    <n v="352.17"/>
    <n v="1056.51"/>
    <x v="2"/>
    <x v="1"/>
  </r>
  <r>
    <s v="CUS-9308-KL"/>
    <x v="1"/>
    <x v="0"/>
    <x v="5"/>
    <d v="2023-02-01T00:00:00"/>
    <n v="115"/>
    <n v="7"/>
    <x v="1"/>
    <s v="Wednesday"/>
    <x v="3"/>
    <n v="1"/>
    <n v="334.53"/>
    <n v="334.53"/>
    <x v="3"/>
    <x v="1"/>
  </r>
  <r>
    <s v="CUS-6949-MN"/>
    <x v="4"/>
    <x v="0"/>
    <x v="0"/>
    <d v="2023-11-04T00:00:00"/>
    <n v="228"/>
    <n v="2"/>
    <x v="2"/>
    <s v="Saturday"/>
    <x v="1"/>
    <n v="2"/>
    <n v="139.55000000000001"/>
    <n v="279.10000000000002"/>
    <x v="3"/>
    <x v="1"/>
  </r>
  <r>
    <s v="CUS-3838-XY"/>
    <x v="1"/>
    <x v="0"/>
    <x v="6"/>
    <d v="2023-06-15T00:00:00"/>
    <n v="674"/>
    <n v="6"/>
    <x v="0"/>
    <s v="Thursday"/>
    <x v="2"/>
    <n v="3"/>
    <n v="238.25"/>
    <n v="714.75"/>
    <x v="3"/>
    <x v="1"/>
  </r>
  <r>
    <s v="CUS-2150-XY"/>
    <x v="1"/>
    <x v="0"/>
    <x v="4"/>
    <d v="2023-12-02T00:00:00"/>
    <n v="208"/>
    <n v="1"/>
    <x v="2"/>
    <s v="Saturday"/>
    <x v="1"/>
    <n v="2"/>
    <n v="387.92"/>
    <n v="775.84"/>
    <x v="3"/>
    <x v="1"/>
  </r>
  <r>
    <s v="CUS-8560-XY"/>
    <x v="1"/>
    <x v="0"/>
    <x v="7"/>
    <d v="2023-09-24T00:00:00"/>
    <n v="986"/>
    <n v="3"/>
    <x v="0"/>
    <s v="Sunday"/>
    <x v="2"/>
    <n v="4"/>
    <n v="95.62"/>
    <n v="382.48"/>
    <x v="0"/>
    <x v="1"/>
  </r>
  <r>
    <s v="CUS-2931-MN"/>
    <x v="4"/>
    <x v="0"/>
    <x v="9"/>
    <d v="2023-08-13T00:00:00"/>
    <n v="632"/>
    <n v="2"/>
    <x v="2"/>
    <s v="Sunday"/>
    <x v="1"/>
    <n v="3"/>
    <n v="175.03"/>
    <n v="525.09"/>
    <x v="2"/>
    <x v="1"/>
  </r>
  <r>
    <s v="CUS-2664-MN"/>
    <x v="1"/>
    <x v="0"/>
    <x v="4"/>
    <d v="2023-12-20T00:00:00"/>
    <n v="769"/>
    <n v="7"/>
    <x v="1"/>
    <s v="Wednesday"/>
    <x v="3"/>
    <n v="3"/>
    <n v="174.34"/>
    <n v="523.02"/>
    <x v="0"/>
    <x v="1"/>
  </r>
  <r>
    <s v="CUS-2081-XY"/>
    <x v="0"/>
    <x v="0"/>
    <x v="1"/>
    <d v="2023-05-29T00:00:00"/>
    <n v="368"/>
    <n v="4"/>
    <x v="0"/>
    <s v="Monday"/>
    <x v="1"/>
    <n v="3"/>
    <n v="244.41"/>
    <n v="733.23"/>
    <x v="3"/>
    <x v="1"/>
  </r>
  <r>
    <s v="CUS-1512-KL"/>
    <x v="3"/>
    <x v="0"/>
    <x v="4"/>
    <d v="2023-12-23T00:00:00"/>
    <n v="261"/>
    <n v="8"/>
    <x v="1"/>
    <s v="Saturday"/>
    <x v="1"/>
    <n v="3"/>
    <n v="491.17"/>
    <n v="1473.51"/>
    <x v="0"/>
    <x v="1"/>
  </r>
  <r>
    <s v="CUS-8805-KL"/>
    <x v="2"/>
    <x v="0"/>
    <x v="5"/>
    <d v="2023-02-25T00:00:00"/>
    <n v="359"/>
    <n v="6"/>
    <x v="0"/>
    <s v="Saturday"/>
    <x v="4"/>
    <n v="4"/>
    <n v="80.38"/>
    <n v="321.52"/>
    <x v="0"/>
    <x v="1"/>
  </r>
  <r>
    <s v="CUS-6237-KL"/>
    <x v="1"/>
    <x v="0"/>
    <x v="6"/>
    <d v="2023-06-30T00:00:00"/>
    <n v="201"/>
    <n v="4"/>
    <x v="0"/>
    <s v="Friday"/>
    <x v="1"/>
    <n v="3"/>
    <n v="283.42"/>
    <n v="850.26"/>
    <x v="1"/>
    <x v="1"/>
  </r>
  <r>
    <s v="CUS-1559-AB"/>
    <x v="1"/>
    <x v="0"/>
    <x v="10"/>
    <d v="2023-04-14T00:00:00"/>
    <n v="605"/>
    <n v="5"/>
    <x v="0"/>
    <s v="Friday"/>
    <x v="4"/>
    <n v="1"/>
    <n v="130.71"/>
    <n v="130.71"/>
    <x v="2"/>
    <x v="1"/>
  </r>
  <r>
    <s v="CUS-4672-MN"/>
    <x v="4"/>
    <x v="0"/>
    <x v="3"/>
    <d v="2023-07-26T00:00:00"/>
    <n v="834"/>
    <n v="9"/>
    <x v="1"/>
    <s v="Wednesday"/>
    <x v="4"/>
    <n v="3"/>
    <n v="486.8"/>
    <n v="1460.4"/>
    <x v="3"/>
    <x v="1"/>
  </r>
  <r>
    <s v="CUS-8404-KL"/>
    <x v="3"/>
    <x v="0"/>
    <x v="8"/>
    <d v="2023-03-08T00:00:00"/>
    <n v="670"/>
    <n v="7"/>
    <x v="1"/>
    <s v="Wednesday"/>
    <x v="2"/>
    <n v="4"/>
    <n v="100.99"/>
    <n v="403.96"/>
    <x v="1"/>
    <x v="1"/>
  </r>
  <r>
    <s v="CUS-4343-AB"/>
    <x v="2"/>
    <x v="0"/>
    <x v="0"/>
    <d v="2023-11-13T00:00:00"/>
    <n v="346"/>
    <n v="9"/>
    <x v="1"/>
    <s v="Monday"/>
    <x v="3"/>
    <n v="3"/>
    <n v="231.62"/>
    <n v="694.86"/>
    <x v="0"/>
    <x v="1"/>
  </r>
  <r>
    <s v="CUS-5070-XY"/>
    <x v="0"/>
    <x v="0"/>
    <x v="0"/>
    <d v="2023-11-12T00:00:00"/>
    <n v="739"/>
    <n v="7"/>
    <x v="1"/>
    <s v="Sunday"/>
    <x v="3"/>
    <n v="1"/>
    <n v="382.05"/>
    <n v="382.05"/>
    <x v="1"/>
    <x v="1"/>
  </r>
  <r>
    <s v="CUS-1580-MN"/>
    <x v="1"/>
    <x v="0"/>
    <x v="4"/>
    <d v="2023-12-16T00:00:00"/>
    <n v="894"/>
    <n v="1"/>
    <x v="2"/>
    <s v="Saturday"/>
    <x v="2"/>
    <n v="4"/>
    <n v="367.05"/>
    <n v="1468.2"/>
    <x v="0"/>
    <x v="1"/>
  </r>
  <r>
    <s v="CUS-8004-AB"/>
    <x v="3"/>
    <x v="0"/>
    <x v="8"/>
    <d v="2023-03-06T00:00:00"/>
    <n v="936"/>
    <n v="8"/>
    <x v="1"/>
    <s v="Monday"/>
    <x v="0"/>
    <n v="4"/>
    <n v="240.23"/>
    <n v="960.92"/>
    <x v="2"/>
    <x v="1"/>
  </r>
  <r>
    <s v="CUS-9130-XY"/>
    <x v="3"/>
    <x v="0"/>
    <x v="9"/>
    <d v="2023-08-20T00:00:00"/>
    <n v="636"/>
    <n v="4"/>
    <x v="0"/>
    <s v="Sunday"/>
    <x v="4"/>
    <n v="1"/>
    <n v="205.94"/>
    <n v="205.94"/>
    <x v="0"/>
    <x v="1"/>
  </r>
  <r>
    <s v="CUS-4147-XY"/>
    <x v="4"/>
    <x v="0"/>
    <x v="6"/>
    <d v="2023-06-26T00:00:00"/>
    <n v="230"/>
    <n v="3"/>
    <x v="0"/>
    <s v="Monday"/>
    <x v="1"/>
    <n v="1"/>
    <n v="228.93"/>
    <n v="228.93"/>
    <x v="1"/>
    <x v="1"/>
  </r>
  <r>
    <s v="CUS-5249-MN"/>
    <x v="1"/>
    <x v="0"/>
    <x v="1"/>
    <d v="2023-05-13T00:00:00"/>
    <n v="452"/>
    <n v="7"/>
    <x v="1"/>
    <s v="Saturday"/>
    <x v="0"/>
    <n v="1"/>
    <n v="168.92"/>
    <n v="168.92"/>
    <x v="3"/>
    <x v="1"/>
  </r>
  <r>
    <s v="CUS-2679-XY"/>
    <x v="1"/>
    <x v="0"/>
    <x v="1"/>
    <d v="2023-05-12T00:00:00"/>
    <n v="295"/>
    <n v="3"/>
    <x v="0"/>
    <s v="Friday"/>
    <x v="3"/>
    <n v="1"/>
    <n v="142.4"/>
    <n v="142.4"/>
    <x v="3"/>
    <x v="1"/>
  </r>
  <r>
    <s v="CUS-4506-AB"/>
    <x v="0"/>
    <x v="0"/>
    <x v="6"/>
    <d v="2023-06-08T00:00:00"/>
    <n v="892"/>
    <n v="8"/>
    <x v="1"/>
    <s v="Thursday"/>
    <x v="0"/>
    <n v="1"/>
    <n v="267.37"/>
    <n v="267.37"/>
    <x v="1"/>
    <x v="1"/>
  </r>
  <r>
    <s v="CUS-8253-KL"/>
    <x v="0"/>
    <x v="0"/>
    <x v="7"/>
    <d v="2023-09-21T00:00:00"/>
    <n v="765"/>
    <n v="6"/>
    <x v="0"/>
    <s v="Thursday"/>
    <x v="1"/>
    <n v="4"/>
    <n v="170.84"/>
    <n v="683.36"/>
    <x v="1"/>
    <x v="1"/>
  </r>
  <r>
    <s v="CUS-3744-MN"/>
    <x v="3"/>
    <x v="0"/>
    <x v="9"/>
    <d v="2023-08-12T00:00:00"/>
    <n v="481"/>
    <n v="5"/>
    <x v="0"/>
    <s v="Saturday"/>
    <x v="2"/>
    <n v="4"/>
    <n v="179.36"/>
    <n v="717.44"/>
    <x v="0"/>
    <x v="1"/>
  </r>
  <r>
    <s v="CUS-6188-KL"/>
    <x v="2"/>
    <x v="0"/>
    <x v="6"/>
    <d v="2023-06-21T00:00:00"/>
    <n v="744"/>
    <n v="4"/>
    <x v="0"/>
    <s v="Wednesday"/>
    <x v="3"/>
    <n v="3"/>
    <n v="345.54"/>
    <n v="1036.6199999999999"/>
    <x v="3"/>
    <x v="1"/>
  </r>
  <r>
    <s v="CUS-3141-MN"/>
    <x v="3"/>
    <x v="0"/>
    <x v="5"/>
    <d v="2023-02-05T00:00:00"/>
    <n v="326"/>
    <n v="8"/>
    <x v="1"/>
    <s v="Sunday"/>
    <x v="2"/>
    <n v="3"/>
    <n v="485.84"/>
    <n v="1457.52"/>
    <x v="1"/>
    <x v="1"/>
  </r>
  <r>
    <s v="CUS-7617-AB"/>
    <x v="3"/>
    <x v="0"/>
    <x v="5"/>
    <d v="2023-02-06T00:00:00"/>
    <n v="800"/>
    <n v="8"/>
    <x v="1"/>
    <s v="Monday"/>
    <x v="2"/>
    <n v="2"/>
    <n v="321.64"/>
    <n v="643.28"/>
    <x v="0"/>
    <x v="1"/>
  </r>
  <r>
    <s v="CUS-3479-AB"/>
    <x v="4"/>
    <x v="0"/>
    <x v="2"/>
    <d v="2023-01-02T00:00:00"/>
    <n v="575"/>
    <n v="1"/>
    <x v="2"/>
    <s v="Monday"/>
    <x v="2"/>
    <n v="3"/>
    <n v="84.64"/>
    <n v="253.92"/>
    <x v="1"/>
    <x v="1"/>
  </r>
  <r>
    <s v="CUS-7484-AB"/>
    <x v="1"/>
    <x v="0"/>
    <x v="4"/>
    <d v="2023-12-29T00:00:00"/>
    <n v="576"/>
    <n v="9"/>
    <x v="1"/>
    <s v="Friday"/>
    <x v="3"/>
    <n v="3"/>
    <n v="84.01"/>
    <n v="252.03"/>
    <x v="3"/>
    <x v="1"/>
  </r>
  <r>
    <s v="CUS-8421-XY"/>
    <x v="0"/>
    <x v="0"/>
    <x v="2"/>
    <d v="2023-01-07T00:00:00"/>
    <n v="364"/>
    <n v="5"/>
    <x v="0"/>
    <s v="Saturday"/>
    <x v="1"/>
    <n v="1"/>
    <n v="478.14"/>
    <n v="478.14"/>
    <x v="0"/>
    <x v="1"/>
  </r>
  <r>
    <s v="CUS-5452-XY"/>
    <x v="3"/>
    <x v="0"/>
    <x v="5"/>
    <d v="2023-02-11T00:00:00"/>
    <n v="471"/>
    <n v="4"/>
    <x v="0"/>
    <s v="Saturday"/>
    <x v="3"/>
    <n v="1"/>
    <n v="183.78"/>
    <n v="183.78"/>
    <x v="1"/>
    <x v="1"/>
  </r>
  <r>
    <s v="CUS-6881-AB"/>
    <x v="1"/>
    <x v="0"/>
    <x v="1"/>
    <d v="2023-05-01T00:00:00"/>
    <n v="585"/>
    <n v="6"/>
    <x v="0"/>
    <s v="Monday"/>
    <x v="0"/>
    <n v="3"/>
    <n v="91.43"/>
    <n v="274.29000000000002"/>
    <x v="3"/>
    <x v="1"/>
  </r>
  <r>
    <s v="CUS-7665-KL"/>
    <x v="1"/>
    <x v="0"/>
    <x v="11"/>
    <d v="2023-10-28T00:00:00"/>
    <n v="533"/>
    <n v="6"/>
    <x v="0"/>
    <s v="Saturday"/>
    <x v="3"/>
    <n v="2"/>
    <n v="319.57"/>
    <n v="639.14"/>
    <x v="1"/>
    <x v="1"/>
  </r>
  <r>
    <s v="CUS-3849-KL"/>
    <x v="2"/>
    <x v="0"/>
    <x v="4"/>
    <d v="2023-12-20T00:00:00"/>
    <n v="745"/>
    <n v="2"/>
    <x v="2"/>
    <s v="Wednesday"/>
    <x v="0"/>
    <n v="1"/>
    <n v="330.64"/>
    <n v="330.64"/>
    <x v="1"/>
    <x v="1"/>
  </r>
  <r>
    <s v="CUS-8390-MN"/>
    <x v="0"/>
    <x v="0"/>
    <x v="11"/>
    <d v="2023-10-24T00:00:00"/>
    <n v="310"/>
    <n v="8"/>
    <x v="1"/>
    <s v="Tuesday"/>
    <x v="2"/>
    <n v="3"/>
    <n v="341.83"/>
    <n v="1025.49"/>
    <x v="1"/>
    <x v="1"/>
  </r>
  <r>
    <s v="CUS-7905-AB"/>
    <x v="3"/>
    <x v="0"/>
    <x v="7"/>
    <d v="2023-09-17T00:00:00"/>
    <n v="671"/>
    <n v="7"/>
    <x v="1"/>
    <s v="Sunday"/>
    <x v="4"/>
    <n v="3"/>
    <n v="170.33"/>
    <n v="510.99"/>
    <x v="2"/>
    <x v="1"/>
  </r>
  <r>
    <s v="CUS-3489-AB"/>
    <x v="3"/>
    <x v="0"/>
    <x v="3"/>
    <d v="2023-07-11T00:00:00"/>
    <n v="476"/>
    <n v="1"/>
    <x v="2"/>
    <s v="Tuesday"/>
    <x v="4"/>
    <n v="4"/>
    <n v="56.8"/>
    <n v="227.2"/>
    <x v="1"/>
    <x v="1"/>
  </r>
  <r>
    <s v="CUS-5611-AB"/>
    <x v="3"/>
    <x v="0"/>
    <x v="5"/>
    <d v="2023-02-06T00:00:00"/>
    <n v="494"/>
    <n v="5"/>
    <x v="0"/>
    <s v="Monday"/>
    <x v="1"/>
    <n v="2"/>
    <n v="484.26"/>
    <n v="968.52"/>
    <x v="0"/>
    <x v="1"/>
  </r>
  <r>
    <s v="CUS-3839-AB"/>
    <x v="1"/>
    <x v="0"/>
    <x v="4"/>
    <d v="2023-12-22T00:00:00"/>
    <n v="549"/>
    <n v="6"/>
    <x v="0"/>
    <s v="Friday"/>
    <x v="0"/>
    <n v="4"/>
    <n v="162.9"/>
    <n v="651.6"/>
    <x v="0"/>
    <x v="1"/>
  </r>
  <r>
    <s v="CUS-9527-MN"/>
    <x v="0"/>
    <x v="0"/>
    <x v="11"/>
    <d v="2023-10-08T00:00:00"/>
    <n v="463"/>
    <n v="4"/>
    <x v="0"/>
    <s v="Sunday"/>
    <x v="1"/>
    <n v="2"/>
    <n v="354.21"/>
    <n v="708.42"/>
    <x v="1"/>
    <x v="1"/>
  </r>
  <r>
    <s v="CUS-6878-XY"/>
    <x v="3"/>
    <x v="0"/>
    <x v="9"/>
    <d v="2023-08-24T00:00:00"/>
    <n v="975"/>
    <n v="2"/>
    <x v="2"/>
    <s v="Thursday"/>
    <x v="4"/>
    <n v="1"/>
    <n v="367.98"/>
    <n v="367.98"/>
    <x v="2"/>
    <x v="1"/>
  </r>
  <r>
    <s v="CUS-7303-MN"/>
    <x v="4"/>
    <x v="0"/>
    <x v="11"/>
    <d v="2023-10-09T00:00:00"/>
    <n v="556"/>
    <n v="4"/>
    <x v="0"/>
    <s v="Monday"/>
    <x v="1"/>
    <n v="2"/>
    <n v="324.5"/>
    <n v="649"/>
    <x v="0"/>
    <x v="1"/>
  </r>
  <r>
    <s v="CUS-1851-XY"/>
    <x v="2"/>
    <x v="0"/>
    <x v="7"/>
    <d v="2023-09-23T00:00:00"/>
    <n v="824"/>
    <n v="1"/>
    <x v="2"/>
    <s v="Saturday"/>
    <x v="0"/>
    <n v="3"/>
    <n v="190.81"/>
    <n v="572.42999999999995"/>
    <x v="0"/>
    <x v="1"/>
  </r>
  <r>
    <s v="CUS-2687-XY"/>
    <x v="3"/>
    <x v="0"/>
    <x v="9"/>
    <d v="2023-08-28T00:00:00"/>
    <n v="827"/>
    <n v="7"/>
    <x v="1"/>
    <s v="Monday"/>
    <x v="1"/>
    <n v="3"/>
    <n v="171.99"/>
    <n v="515.97"/>
    <x v="2"/>
    <x v="1"/>
  </r>
  <r>
    <s v="CUS-7833-AB"/>
    <x v="2"/>
    <x v="0"/>
    <x v="4"/>
    <d v="2023-12-26T00:00:00"/>
    <n v="325"/>
    <n v="2"/>
    <x v="2"/>
    <s v="Tuesday"/>
    <x v="4"/>
    <n v="2"/>
    <n v="318.95"/>
    <n v="637.9"/>
    <x v="1"/>
    <x v="1"/>
  </r>
  <r>
    <s v="CUS-3427-XY"/>
    <x v="4"/>
    <x v="0"/>
    <x v="0"/>
    <d v="2023-11-28T00:00:00"/>
    <n v="230"/>
    <n v="2"/>
    <x v="2"/>
    <s v="Tuesday"/>
    <x v="2"/>
    <n v="2"/>
    <n v="439.74"/>
    <n v="879.48"/>
    <x v="2"/>
    <x v="1"/>
  </r>
  <r>
    <s v="CUS-5000-XY"/>
    <x v="2"/>
    <x v="0"/>
    <x v="7"/>
    <d v="2023-09-03T00:00:00"/>
    <n v="687"/>
    <n v="9"/>
    <x v="1"/>
    <s v="Sunday"/>
    <x v="0"/>
    <n v="2"/>
    <n v="476.03"/>
    <n v="952.06"/>
    <x v="1"/>
    <x v="1"/>
  </r>
  <r>
    <s v="CUS-6052-AB"/>
    <x v="3"/>
    <x v="0"/>
    <x v="7"/>
    <d v="2023-09-16T00:00:00"/>
    <n v="575"/>
    <n v="5"/>
    <x v="0"/>
    <s v="Saturday"/>
    <x v="3"/>
    <n v="4"/>
    <n v="97.66"/>
    <n v="390.64"/>
    <x v="2"/>
    <x v="1"/>
  </r>
  <r>
    <s v="CUS-3738-XY"/>
    <x v="3"/>
    <x v="0"/>
    <x v="2"/>
    <d v="2023-01-21T00:00:00"/>
    <n v="897"/>
    <n v="2"/>
    <x v="2"/>
    <s v="Saturday"/>
    <x v="0"/>
    <n v="2"/>
    <n v="119.67"/>
    <n v="239.34"/>
    <x v="2"/>
    <x v="1"/>
  </r>
  <r>
    <s v="CUS-6732-KL"/>
    <x v="1"/>
    <x v="0"/>
    <x v="7"/>
    <d v="2023-09-11T00:00:00"/>
    <n v="376"/>
    <n v="9"/>
    <x v="1"/>
    <s v="Monday"/>
    <x v="3"/>
    <n v="1"/>
    <n v="475.13"/>
    <n v="475.13"/>
    <x v="3"/>
    <x v="1"/>
  </r>
  <r>
    <s v="CUS-6387-XY"/>
    <x v="1"/>
    <x v="0"/>
    <x v="2"/>
    <d v="2023-01-26T00:00:00"/>
    <n v="255"/>
    <n v="9"/>
    <x v="1"/>
    <s v="Thursday"/>
    <x v="3"/>
    <n v="4"/>
    <n v="381.44"/>
    <n v="1525.76"/>
    <x v="2"/>
    <x v="1"/>
  </r>
  <r>
    <s v="CUS-9002-KL"/>
    <x v="4"/>
    <x v="0"/>
    <x v="9"/>
    <d v="2023-08-04T00:00:00"/>
    <n v="859"/>
    <n v="1"/>
    <x v="2"/>
    <s v="Friday"/>
    <x v="3"/>
    <n v="4"/>
    <n v="447.35"/>
    <n v="1789.4"/>
    <x v="2"/>
    <x v="1"/>
  </r>
  <r>
    <s v="CUS-6536-XY"/>
    <x v="0"/>
    <x v="1"/>
    <x v="2"/>
    <d v="2024-01-03T00:00:00"/>
    <n v="317"/>
    <n v="3"/>
    <x v="0"/>
    <s v="Wednesday"/>
    <x v="2"/>
    <n v="2"/>
    <n v="141.18"/>
    <n v="282.36"/>
    <x v="2"/>
    <x v="1"/>
  </r>
  <r>
    <s v="CUS-4913-AB"/>
    <x v="2"/>
    <x v="0"/>
    <x v="3"/>
    <d v="2023-07-26T00:00:00"/>
    <n v="289"/>
    <n v="4"/>
    <x v="0"/>
    <s v="Wednesday"/>
    <x v="1"/>
    <n v="1"/>
    <n v="314.41000000000003"/>
    <n v="314.41000000000003"/>
    <x v="1"/>
    <x v="1"/>
  </r>
  <r>
    <s v="CUS-2066-XY"/>
    <x v="1"/>
    <x v="0"/>
    <x v="6"/>
    <d v="2023-06-29T00:00:00"/>
    <n v="516"/>
    <n v="7"/>
    <x v="1"/>
    <s v="Thursday"/>
    <x v="1"/>
    <n v="4"/>
    <n v="365.51"/>
    <n v="1462.04"/>
    <x v="0"/>
    <x v="1"/>
  </r>
  <r>
    <s v="CUS-8723-AB"/>
    <x v="1"/>
    <x v="0"/>
    <x v="10"/>
    <d v="2023-04-29T00:00:00"/>
    <n v="774"/>
    <n v="4"/>
    <x v="0"/>
    <s v="Saturday"/>
    <x v="0"/>
    <n v="3"/>
    <n v="356.05"/>
    <n v="1068.1500000000001"/>
    <x v="3"/>
    <x v="1"/>
  </r>
  <r>
    <s v="CUS-5380-MN"/>
    <x v="1"/>
    <x v="0"/>
    <x v="5"/>
    <d v="2023-02-15T00:00:00"/>
    <n v="791"/>
    <n v="2"/>
    <x v="2"/>
    <s v="Wednesday"/>
    <x v="4"/>
    <n v="4"/>
    <n v="233.67"/>
    <n v="934.68"/>
    <x v="3"/>
    <x v="1"/>
  </r>
  <r>
    <s v="CUS-5107-AB"/>
    <x v="3"/>
    <x v="0"/>
    <x v="11"/>
    <d v="2023-10-01T00:00:00"/>
    <n v="645"/>
    <n v="7"/>
    <x v="1"/>
    <s v="Sunday"/>
    <x v="1"/>
    <n v="2"/>
    <n v="56.93"/>
    <n v="113.86"/>
    <x v="1"/>
    <x v="1"/>
  </r>
  <r>
    <s v="CUS-6726-MN"/>
    <x v="0"/>
    <x v="0"/>
    <x v="8"/>
    <d v="2023-03-18T00:00:00"/>
    <n v="140"/>
    <n v="6"/>
    <x v="0"/>
    <s v="Saturday"/>
    <x v="4"/>
    <n v="1"/>
    <n v="312.32"/>
    <n v="312.32"/>
    <x v="1"/>
    <x v="1"/>
  </r>
  <r>
    <s v="CUS-4373-MN"/>
    <x v="0"/>
    <x v="0"/>
    <x v="5"/>
    <d v="2023-02-15T00:00:00"/>
    <n v="406"/>
    <n v="3"/>
    <x v="0"/>
    <s v="Wednesday"/>
    <x v="1"/>
    <n v="2"/>
    <n v="163.9"/>
    <n v="327.8"/>
    <x v="0"/>
    <x v="1"/>
  </r>
  <r>
    <s v="CUS-9945-KL"/>
    <x v="1"/>
    <x v="0"/>
    <x v="6"/>
    <d v="2023-06-09T00:00:00"/>
    <n v="437"/>
    <n v="6"/>
    <x v="0"/>
    <s v="Friday"/>
    <x v="3"/>
    <n v="3"/>
    <n v="252.61"/>
    <n v="757.83"/>
    <x v="1"/>
    <x v="1"/>
  </r>
  <r>
    <s v="CUS-3082-AB"/>
    <x v="3"/>
    <x v="0"/>
    <x v="11"/>
    <d v="2023-10-24T00:00:00"/>
    <n v="413"/>
    <n v="6"/>
    <x v="0"/>
    <s v="Tuesday"/>
    <x v="0"/>
    <n v="3"/>
    <n v="480.91"/>
    <n v="1442.73"/>
    <x v="2"/>
    <x v="1"/>
  </r>
  <r>
    <s v="CUS-9967-MN"/>
    <x v="1"/>
    <x v="0"/>
    <x v="11"/>
    <d v="2023-10-04T00:00:00"/>
    <n v="174"/>
    <n v="5"/>
    <x v="0"/>
    <s v="Wednesday"/>
    <x v="0"/>
    <n v="3"/>
    <n v="229.57"/>
    <n v="688.71"/>
    <x v="2"/>
    <x v="1"/>
  </r>
  <r>
    <s v="CUS-7748-XY"/>
    <x v="1"/>
    <x v="0"/>
    <x v="2"/>
    <d v="2023-01-25T00:00:00"/>
    <n v="378"/>
    <n v="4"/>
    <x v="0"/>
    <s v="Wednesday"/>
    <x v="0"/>
    <n v="2"/>
    <n v="427.91"/>
    <n v="855.82"/>
    <x v="2"/>
    <x v="1"/>
  </r>
  <r>
    <s v="CUS-1417-KL"/>
    <x v="2"/>
    <x v="0"/>
    <x v="6"/>
    <d v="2023-06-17T00:00:00"/>
    <n v="275"/>
    <n v="1"/>
    <x v="2"/>
    <s v="Saturday"/>
    <x v="1"/>
    <n v="4"/>
    <n v="134.84"/>
    <n v="539.36"/>
    <x v="2"/>
    <x v="1"/>
  </r>
  <r>
    <s v="CUS-9306-KL"/>
    <x v="0"/>
    <x v="0"/>
    <x v="3"/>
    <d v="2023-07-16T00:00:00"/>
    <n v="995"/>
    <n v="6"/>
    <x v="0"/>
    <s v="Sunday"/>
    <x v="2"/>
    <n v="2"/>
    <n v="352.61"/>
    <n v="705.22"/>
    <x v="2"/>
    <x v="1"/>
  </r>
  <r>
    <s v="CUS-9808-MN"/>
    <x v="0"/>
    <x v="0"/>
    <x v="9"/>
    <d v="2023-08-26T00:00:00"/>
    <n v="761"/>
    <n v="2"/>
    <x v="2"/>
    <s v="Saturday"/>
    <x v="4"/>
    <n v="1"/>
    <n v="489.65"/>
    <n v="489.65"/>
    <x v="3"/>
    <x v="1"/>
  </r>
  <r>
    <s v="CUS-4974-KL"/>
    <x v="1"/>
    <x v="0"/>
    <x v="9"/>
    <d v="2023-08-29T00:00:00"/>
    <n v="372"/>
    <n v="3"/>
    <x v="0"/>
    <s v="Tuesday"/>
    <x v="3"/>
    <n v="4"/>
    <n v="95.85"/>
    <n v="383.4"/>
    <x v="0"/>
    <x v="1"/>
  </r>
  <r>
    <s v="CUS-4267-MN"/>
    <x v="3"/>
    <x v="0"/>
    <x v="1"/>
    <d v="2023-05-22T00:00:00"/>
    <n v="936"/>
    <n v="8"/>
    <x v="1"/>
    <s v="Monday"/>
    <x v="1"/>
    <n v="3"/>
    <n v="53.74"/>
    <n v="161.22"/>
    <x v="1"/>
    <x v="1"/>
  </r>
  <r>
    <s v="CUS-1825-AB"/>
    <x v="2"/>
    <x v="0"/>
    <x v="3"/>
    <d v="2023-07-30T00:00:00"/>
    <n v="719"/>
    <n v="6"/>
    <x v="0"/>
    <s v="Sunday"/>
    <x v="4"/>
    <n v="2"/>
    <n v="245.11"/>
    <n v="490.22"/>
    <x v="2"/>
    <x v="1"/>
  </r>
  <r>
    <s v="CUS-8668-XY"/>
    <x v="2"/>
    <x v="0"/>
    <x v="6"/>
    <d v="2023-06-28T00:00:00"/>
    <n v="750"/>
    <n v="3"/>
    <x v="0"/>
    <s v="Wednesday"/>
    <x v="1"/>
    <n v="3"/>
    <n v="91.68"/>
    <n v="275.04000000000002"/>
    <x v="3"/>
    <x v="1"/>
  </r>
  <r>
    <s v="CUS-6745-KL"/>
    <x v="4"/>
    <x v="0"/>
    <x v="0"/>
    <d v="2023-11-27T00:00:00"/>
    <n v="961"/>
    <n v="7"/>
    <x v="1"/>
    <s v="Monday"/>
    <x v="2"/>
    <n v="3"/>
    <n v="386.77"/>
    <n v="1160.31"/>
    <x v="0"/>
    <x v="1"/>
  </r>
  <r>
    <s v="CUS-1412-XY"/>
    <x v="1"/>
    <x v="0"/>
    <x v="3"/>
    <d v="2023-07-17T00:00:00"/>
    <n v="882"/>
    <n v="4"/>
    <x v="0"/>
    <s v="Monday"/>
    <x v="4"/>
    <n v="1"/>
    <n v="461.55"/>
    <n v="461.55"/>
    <x v="0"/>
    <x v="1"/>
  </r>
  <r>
    <s v="CUS-8543-KL"/>
    <x v="3"/>
    <x v="0"/>
    <x v="6"/>
    <d v="2023-06-19T00:00:00"/>
    <n v="958"/>
    <n v="9"/>
    <x v="1"/>
    <s v="Monday"/>
    <x v="1"/>
    <n v="4"/>
    <n v="245.31"/>
    <n v="981.24"/>
    <x v="3"/>
    <x v="1"/>
  </r>
  <r>
    <s v="CUS-8587-XY"/>
    <x v="1"/>
    <x v="0"/>
    <x v="6"/>
    <d v="2023-06-02T00:00:00"/>
    <n v="388"/>
    <n v="5"/>
    <x v="0"/>
    <s v="Friday"/>
    <x v="2"/>
    <n v="1"/>
    <n v="166.42"/>
    <n v="166.42"/>
    <x v="1"/>
    <x v="1"/>
  </r>
  <r>
    <s v="CUS-1728-AB"/>
    <x v="2"/>
    <x v="0"/>
    <x v="3"/>
    <d v="2023-07-31T00:00:00"/>
    <n v="823"/>
    <n v="3"/>
    <x v="0"/>
    <s v="Monday"/>
    <x v="2"/>
    <n v="1"/>
    <n v="245.48"/>
    <n v="245.48"/>
    <x v="2"/>
    <x v="1"/>
  </r>
  <r>
    <s v="CUS-8164-MN"/>
    <x v="2"/>
    <x v="0"/>
    <x v="11"/>
    <d v="2023-10-23T00:00:00"/>
    <n v="992"/>
    <n v="2"/>
    <x v="2"/>
    <s v="Monday"/>
    <x v="3"/>
    <n v="1"/>
    <n v="375.55"/>
    <n v="375.55"/>
    <x v="2"/>
    <x v="1"/>
  </r>
  <r>
    <s v="CUS-9867-KL"/>
    <x v="2"/>
    <x v="0"/>
    <x v="3"/>
    <d v="2023-07-18T00:00:00"/>
    <n v="371"/>
    <n v="2"/>
    <x v="2"/>
    <s v="Tuesday"/>
    <x v="1"/>
    <n v="3"/>
    <n v="54.07"/>
    <n v="162.21"/>
    <x v="3"/>
    <x v="1"/>
  </r>
  <r>
    <s v="CUS-6988-KL"/>
    <x v="4"/>
    <x v="0"/>
    <x v="7"/>
    <d v="2023-09-02T00:00:00"/>
    <n v="165"/>
    <n v="3"/>
    <x v="0"/>
    <s v="Saturday"/>
    <x v="2"/>
    <n v="1"/>
    <n v="315.25"/>
    <n v="315.25"/>
    <x v="2"/>
    <x v="1"/>
  </r>
  <r>
    <s v="CUS-3504-KL"/>
    <x v="3"/>
    <x v="0"/>
    <x v="7"/>
    <d v="2023-09-29T00:00:00"/>
    <n v="582"/>
    <n v="2"/>
    <x v="2"/>
    <s v="Friday"/>
    <x v="3"/>
    <n v="1"/>
    <n v="325.98"/>
    <n v="325.98"/>
    <x v="2"/>
    <x v="1"/>
  </r>
  <r>
    <s v="CUS-3967-KL"/>
    <x v="0"/>
    <x v="0"/>
    <x v="3"/>
    <d v="2023-07-13T00:00:00"/>
    <n v="347"/>
    <n v="4"/>
    <x v="0"/>
    <s v="Thursday"/>
    <x v="4"/>
    <n v="4"/>
    <n v="336.96"/>
    <n v="1347.84"/>
    <x v="1"/>
    <x v="1"/>
  </r>
  <r>
    <s v="CUS-3786-MN"/>
    <x v="4"/>
    <x v="0"/>
    <x v="6"/>
    <d v="2023-06-07T00:00:00"/>
    <n v="255"/>
    <n v="2"/>
    <x v="2"/>
    <s v="Wednesday"/>
    <x v="1"/>
    <n v="4"/>
    <n v="158.91"/>
    <n v="635.64"/>
    <x v="3"/>
    <x v="1"/>
  </r>
  <r>
    <s v="CUS-2122-KL"/>
    <x v="4"/>
    <x v="0"/>
    <x v="0"/>
    <d v="2023-11-25T00:00:00"/>
    <n v="146"/>
    <n v="9"/>
    <x v="1"/>
    <s v="Saturday"/>
    <x v="0"/>
    <n v="1"/>
    <n v="371.32"/>
    <n v="371.32"/>
    <x v="1"/>
    <x v="1"/>
  </r>
  <r>
    <s v="CUS-5079-KL"/>
    <x v="4"/>
    <x v="0"/>
    <x v="6"/>
    <d v="2023-06-04T00:00:00"/>
    <n v="553"/>
    <n v="2"/>
    <x v="2"/>
    <s v="Sunday"/>
    <x v="2"/>
    <n v="4"/>
    <n v="91.13"/>
    <n v="364.52"/>
    <x v="2"/>
    <x v="1"/>
  </r>
  <r>
    <s v="CUS-2571-AB"/>
    <x v="2"/>
    <x v="0"/>
    <x v="6"/>
    <d v="2023-06-27T00:00:00"/>
    <n v="300"/>
    <n v="9"/>
    <x v="1"/>
    <s v="Tuesday"/>
    <x v="4"/>
    <n v="4"/>
    <n v="139.66999999999999"/>
    <n v="558.67999999999995"/>
    <x v="0"/>
    <x v="1"/>
  </r>
  <r>
    <s v="CUS-6073-AB"/>
    <x v="1"/>
    <x v="1"/>
    <x v="2"/>
    <d v="2024-01-03T00:00:00"/>
    <n v="759"/>
    <n v="6"/>
    <x v="0"/>
    <s v="Wednesday"/>
    <x v="1"/>
    <n v="1"/>
    <n v="444.86"/>
    <n v="444.86"/>
    <x v="1"/>
    <x v="1"/>
  </r>
  <r>
    <s v="CUS-6104-KL"/>
    <x v="2"/>
    <x v="0"/>
    <x v="2"/>
    <d v="2023-01-02T00:00:00"/>
    <n v="223"/>
    <n v="1"/>
    <x v="2"/>
    <s v="Monday"/>
    <x v="3"/>
    <n v="3"/>
    <n v="382.43"/>
    <n v="1147.29"/>
    <x v="1"/>
    <x v="1"/>
  </r>
  <r>
    <s v="CUS-3143-XY"/>
    <x v="2"/>
    <x v="0"/>
    <x v="8"/>
    <d v="2023-03-13T00:00:00"/>
    <n v="100"/>
    <n v="4"/>
    <x v="0"/>
    <s v="Monday"/>
    <x v="4"/>
    <n v="1"/>
    <n v="56.19"/>
    <n v="56.19"/>
    <x v="1"/>
    <x v="1"/>
  </r>
  <r>
    <s v="CUS-7806-KL"/>
    <x v="4"/>
    <x v="0"/>
    <x v="1"/>
    <d v="2023-05-22T00:00:00"/>
    <n v="858"/>
    <n v="1"/>
    <x v="2"/>
    <s v="Monday"/>
    <x v="2"/>
    <n v="4"/>
    <n v="161.77000000000001"/>
    <n v="647.08000000000004"/>
    <x v="2"/>
    <x v="1"/>
  </r>
  <r>
    <s v="CUS-8357-XY"/>
    <x v="2"/>
    <x v="0"/>
    <x v="4"/>
    <d v="2023-12-13T00:00:00"/>
    <n v="954"/>
    <n v="6"/>
    <x v="0"/>
    <s v="Wednesday"/>
    <x v="3"/>
    <n v="3"/>
    <n v="146.47999999999999"/>
    <n v="439.44"/>
    <x v="2"/>
    <x v="1"/>
  </r>
  <r>
    <s v="CUS-4440-MN"/>
    <x v="0"/>
    <x v="0"/>
    <x v="2"/>
    <d v="2023-01-30T00:00:00"/>
    <n v="739"/>
    <n v="4"/>
    <x v="0"/>
    <s v="Monday"/>
    <x v="1"/>
    <n v="2"/>
    <n v="171.86"/>
    <n v="343.72"/>
    <x v="3"/>
    <x v="1"/>
  </r>
  <r>
    <s v="CUS-4766-MN"/>
    <x v="4"/>
    <x v="0"/>
    <x v="2"/>
    <d v="2023-01-07T00:00:00"/>
    <n v="290"/>
    <n v="3"/>
    <x v="0"/>
    <s v="Saturday"/>
    <x v="1"/>
    <n v="3"/>
    <n v="161.4"/>
    <n v="484.2"/>
    <x v="3"/>
    <x v="1"/>
  </r>
  <r>
    <s v="CUS-6644-XY"/>
    <x v="2"/>
    <x v="0"/>
    <x v="2"/>
    <d v="2023-01-23T00:00:00"/>
    <n v="678"/>
    <n v="3"/>
    <x v="0"/>
    <s v="Monday"/>
    <x v="0"/>
    <n v="4"/>
    <n v="78.14"/>
    <n v="312.56"/>
    <x v="3"/>
    <x v="1"/>
  </r>
  <r>
    <s v="CUS-3914-KL"/>
    <x v="1"/>
    <x v="0"/>
    <x v="5"/>
    <d v="2023-02-11T00:00:00"/>
    <n v="615"/>
    <n v="9"/>
    <x v="1"/>
    <s v="Saturday"/>
    <x v="1"/>
    <n v="3"/>
    <n v="256.52"/>
    <n v="769.56"/>
    <x v="3"/>
    <x v="1"/>
  </r>
  <r>
    <s v="CUS-5968-KL"/>
    <x v="2"/>
    <x v="0"/>
    <x v="2"/>
    <d v="2023-01-20T00:00:00"/>
    <n v="541"/>
    <n v="6"/>
    <x v="0"/>
    <s v="Friday"/>
    <x v="0"/>
    <n v="1"/>
    <n v="379.73"/>
    <n v="379.73"/>
    <x v="0"/>
    <x v="1"/>
  </r>
  <r>
    <s v="CUS-6917-KL"/>
    <x v="3"/>
    <x v="0"/>
    <x v="3"/>
    <d v="2023-07-04T00:00:00"/>
    <n v="914"/>
    <n v="9"/>
    <x v="1"/>
    <s v="Tuesday"/>
    <x v="3"/>
    <n v="2"/>
    <n v="323.02999999999997"/>
    <n v="646.05999999999995"/>
    <x v="3"/>
    <x v="1"/>
  </r>
  <r>
    <s v="CUS-9787-MN"/>
    <x v="1"/>
    <x v="0"/>
    <x v="9"/>
    <d v="2023-08-05T00:00:00"/>
    <n v="905"/>
    <n v="5"/>
    <x v="0"/>
    <s v="Saturday"/>
    <x v="0"/>
    <n v="2"/>
    <n v="352.79"/>
    <n v="705.58"/>
    <x v="3"/>
    <x v="1"/>
  </r>
  <r>
    <s v="CUS-1728-XY"/>
    <x v="3"/>
    <x v="0"/>
    <x v="10"/>
    <d v="2023-04-12T00:00:00"/>
    <n v="242"/>
    <n v="2"/>
    <x v="2"/>
    <s v="Wednesday"/>
    <x v="3"/>
    <n v="2"/>
    <n v="86.52"/>
    <n v="173.04"/>
    <x v="3"/>
    <x v="1"/>
  </r>
  <r>
    <s v="CUS-2365-AB"/>
    <x v="2"/>
    <x v="0"/>
    <x v="6"/>
    <d v="2023-06-03T00:00:00"/>
    <n v="290"/>
    <n v="8"/>
    <x v="1"/>
    <s v="Saturday"/>
    <x v="4"/>
    <n v="4"/>
    <n v="478.17"/>
    <n v="1912.68"/>
    <x v="1"/>
    <x v="1"/>
  </r>
  <r>
    <s v="CUS-5492-AB"/>
    <x v="3"/>
    <x v="0"/>
    <x v="5"/>
    <d v="2023-02-08T00:00:00"/>
    <n v="632"/>
    <n v="5"/>
    <x v="0"/>
    <s v="Wednesday"/>
    <x v="3"/>
    <n v="4"/>
    <n v="427.32"/>
    <n v="1709.28"/>
    <x v="2"/>
    <x v="1"/>
  </r>
  <r>
    <s v="CUS-1698-XY"/>
    <x v="0"/>
    <x v="0"/>
    <x v="1"/>
    <d v="2023-05-05T00:00:00"/>
    <n v="326"/>
    <n v="2"/>
    <x v="2"/>
    <s v="Friday"/>
    <x v="2"/>
    <n v="2"/>
    <n v="412.29"/>
    <n v="824.58"/>
    <x v="1"/>
    <x v="1"/>
  </r>
  <r>
    <s v="CUS-8186-XY"/>
    <x v="3"/>
    <x v="0"/>
    <x v="3"/>
    <d v="2023-07-14T00:00:00"/>
    <n v="412"/>
    <n v="4"/>
    <x v="0"/>
    <s v="Friday"/>
    <x v="1"/>
    <n v="3"/>
    <n v="420.34"/>
    <n v="1261.02"/>
    <x v="0"/>
    <x v="1"/>
  </r>
  <r>
    <s v="CUS-1395-XY"/>
    <x v="4"/>
    <x v="0"/>
    <x v="11"/>
    <d v="2023-10-04T00:00:00"/>
    <n v="728"/>
    <n v="9"/>
    <x v="1"/>
    <s v="Wednesday"/>
    <x v="3"/>
    <n v="2"/>
    <n v="469.72"/>
    <n v="939.44"/>
    <x v="1"/>
    <x v="1"/>
  </r>
  <r>
    <s v="CUS-8400-KL"/>
    <x v="4"/>
    <x v="0"/>
    <x v="2"/>
    <d v="2023-01-06T00:00:00"/>
    <n v="401"/>
    <n v="4"/>
    <x v="0"/>
    <s v="Friday"/>
    <x v="4"/>
    <n v="3"/>
    <n v="294.91000000000003"/>
    <n v="884.73"/>
    <x v="2"/>
    <x v="1"/>
  </r>
  <r>
    <s v="CUS-9082-KL"/>
    <x v="2"/>
    <x v="0"/>
    <x v="6"/>
    <d v="2023-06-24T00:00:00"/>
    <n v="753"/>
    <n v="4"/>
    <x v="0"/>
    <s v="Saturday"/>
    <x v="3"/>
    <n v="3"/>
    <n v="140.13"/>
    <n v="420.39"/>
    <x v="1"/>
    <x v="1"/>
  </r>
  <r>
    <s v="CUS-5171-KL"/>
    <x v="2"/>
    <x v="0"/>
    <x v="10"/>
    <d v="2023-04-21T00:00:00"/>
    <n v="559"/>
    <n v="2"/>
    <x v="2"/>
    <s v="Friday"/>
    <x v="1"/>
    <n v="4"/>
    <n v="327.55"/>
    <n v="1310.2"/>
    <x v="2"/>
    <x v="1"/>
  </r>
  <r>
    <s v="CUS-5360-MN"/>
    <x v="0"/>
    <x v="0"/>
    <x v="0"/>
    <d v="2023-11-14T00:00:00"/>
    <n v="500"/>
    <n v="6"/>
    <x v="0"/>
    <s v="Tuesday"/>
    <x v="0"/>
    <n v="3"/>
    <n v="384.3"/>
    <n v="1152.9000000000001"/>
    <x v="2"/>
    <x v="1"/>
  </r>
  <r>
    <s v="CUS-3502-MN"/>
    <x v="4"/>
    <x v="0"/>
    <x v="7"/>
    <d v="2023-09-21T00:00:00"/>
    <n v="650"/>
    <n v="2"/>
    <x v="2"/>
    <s v="Thursday"/>
    <x v="4"/>
    <n v="2"/>
    <n v="382.06"/>
    <n v="764.12"/>
    <x v="1"/>
    <x v="1"/>
  </r>
  <r>
    <s v="CUS-1717-MN"/>
    <x v="1"/>
    <x v="0"/>
    <x v="9"/>
    <d v="2023-08-11T00:00:00"/>
    <n v="492"/>
    <n v="7"/>
    <x v="1"/>
    <s v="Friday"/>
    <x v="4"/>
    <n v="4"/>
    <n v="284.64999999999998"/>
    <n v="1138.5999999999999"/>
    <x v="2"/>
    <x v="1"/>
  </r>
  <r>
    <s v="CUS-3782-MN"/>
    <x v="4"/>
    <x v="0"/>
    <x v="10"/>
    <d v="2023-04-15T00:00:00"/>
    <n v="966"/>
    <n v="3"/>
    <x v="0"/>
    <s v="Saturday"/>
    <x v="0"/>
    <n v="1"/>
    <n v="80.81"/>
    <n v="80.81"/>
    <x v="0"/>
    <x v="1"/>
  </r>
  <r>
    <s v="CUS-5946-AB"/>
    <x v="1"/>
    <x v="0"/>
    <x v="4"/>
    <d v="2023-12-02T00:00:00"/>
    <n v="863"/>
    <n v="3"/>
    <x v="0"/>
    <s v="Saturday"/>
    <x v="3"/>
    <n v="1"/>
    <n v="217"/>
    <n v="217"/>
    <x v="0"/>
    <x v="1"/>
  </r>
  <r>
    <s v="CUS-6486-XY"/>
    <x v="3"/>
    <x v="0"/>
    <x v="2"/>
    <d v="2023-01-22T00:00:00"/>
    <n v="944"/>
    <n v="5"/>
    <x v="0"/>
    <s v="Sunday"/>
    <x v="4"/>
    <n v="4"/>
    <n v="464.34"/>
    <n v="1857.36"/>
    <x v="2"/>
    <x v="1"/>
  </r>
  <r>
    <s v="CUS-9335-XY"/>
    <x v="1"/>
    <x v="0"/>
    <x v="5"/>
    <d v="2023-02-12T00:00:00"/>
    <n v="306"/>
    <n v="3"/>
    <x v="0"/>
    <s v="Sunday"/>
    <x v="3"/>
    <n v="2"/>
    <n v="313"/>
    <n v="626"/>
    <x v="2"/>
    <x v="1"/>
  </r>
  <r>
    <s v="CUS-5980-MN"/>
    <x v="2"/>
    <x v="0"/>
    <x v="1"/>
    <d v="2023-05-25T00:00:00"/>
    <n v="309"/>
    <n v="2"/>
    <x v="2"/>
    <s v="Thursday"/>
    <x v="2"/>
    <n v="1"/>
    <n v="292.25"/>
    <n v="292.25"/>
    <x v="3"/>
    <x v="1"/>
  </r>
  <r>
    <s v="CUS-8266-MN"/>
    <x v="2"/>
    <x v="0"/>
    <x v="5"/>
    <d v="2023-02-24T00:00:00"/>
    <n v="214"/>
    <n v="9"/>
    <x v="1"/>
    <s v="Friday"/>
    <x v="0"/>
    <n v="1"/>
    <n v="170.98"/>
    <n v="170.98"/>
    <x v="0"/>
    <x v="1"/>
  </r>
  <r>
    <s v="CUS-5491-XY"/>
    <x v="3"/>
    <x v="0"/>
    <x v="4"/>
    <d v="2023-12-18T00:00:00"/>
    <n v="836"/>
    <n v="2"/>
    <x v="2"/>
    <s v="Monday"/>
    <x v="2"/>
    <n v="3"/>
    <n v="215.8"/>
    <n v="647.4"/>
    <x v="0"/>
    <x v="1"/>
  </r>
  <r>
    <s v="CUS-8192-KL"/>
    <x v="2"/>
    <x v="0"/>
    <x v="11"/>
    <d v="2023-10-21T00:00:00"/>
    <n v="745"/>
    <n v="2"/>
    <x v="2"/>
    <s v="Saturday"/>
    <x v="1"/>
    <n v="3"/>
    <n v="452.91"/>
    <n v="1358.73"/>
    <x v="1"/>
    <x v="1"/>
  </r>
  <r>
    <s v="CUS-6588-XY"/>
    <x v="1"/>
    <x v="0"/>
    <x v="10"/>
    <d v="2023-04-13T00:00:00"/>
    <n v="350"/>
    <n v="8"/>
    <x v="1"/>
    <s v="Thursday"/>
    <x v="0"/>
    <n v="2"/>
    <n v="349.91"/>
    <n v="699.82"/>
    <x v="1"/>
    <x v="1"/>
  </r>
  <r>
    <s v="CUS-8651-XY"/>
    <x v="2"/>
    <x v="0"/>
    <x v="9"/>
    <d v="2023-08-12T00:00:00"/>
    <n v="318"/>
    <n v="9"/>
    <x v="1"/>
    <s v="Saturday"/>
    <x v="4"/>
    <n v="4"/>
    <n v="404.32"/>
    <n v="1617.28"/>
    <x v="0"/>
    <x v="1"/>
  </r>
  <r>
    <s v="CUS-4636-XY"/>
    <x v="3"/>
    <x v="1"/>
    <x v="2"/>
    <d v="2024-01-01T00:00:00"/>
    <n v="506"/>
    <n v="7"/>
    <x v="1"/>
    <s v="Monday"/>
    <x v="3"/>
    <n v="2"/>
    <n v="254.46"/>
    <n v="508.92"/>
    <x v="3"/>
    <x v="1"/>
  </r>
  <r>
    <s v="CUS-2167-XY"/>
    <x v="0"/>
    <x v="0"/>
    <x v="0"/>
    <d v="2023-11-22T00:00:00"/>
    <n v="542"/>
    <n v="3"/>
    <x v="0"/>
    <s v="Wednesday"/>
    <x v="2"/>
    <n v="4"/>
    <n v="333.61"/>
    <n v="1334.44"/>
    <x v="3"/>
    <x v="1"/>
  </r>
  <r>
    <s v="CUS-2062-XY"/>
    <x v="4"/>
    <x v="0"/>
    <x v="9"/>
    <d v="2023-08-17T00:00:00"/>
    <n v="702"/>
    <n v="9"/>
    <x v="1"/>
    <s v="Thursday"/>
    <x v="1"/>
    <n v="1"/>
    <n v="161.77000000000001"/>
    <n v="161.77000000000001"/>
    <x v="2"/>
    <x v="1"/>
  </r>
  <r>
    <s v="CUS-3156-KL"/>
    <x v="4"/>
    <x v="0"/>
    <x v="0"/>
    <d v="2023-11-29T00:00:00"/>
    <n v="453"/>
    <n v="3"/>
    <x v="0"/>
    <s v="Wednesday"/>
    <x v="2"/>
    <n v="3"/>
    <n v="367.46"/>
    <n v="1102.3800000000001"/>
    <x v="3"/>
    <x v="1"/>
  </r>
  <r>
    <s v="CUS-8860-KL"/>
    <x v="4"/>
    <x v="1"/>
    <x v="2"/>
    <d v="2024-01-02T00:00:00"/>
    <n v="987"/>
    <n v="5"/>
    <x v="0"/>
    <s v="Tuesday"/>
    <x v="2"/>
    <n v="2"/>
    <n v="242.42"/>
    <n v="484.84"/>
    <x v="2"/>
    <x v="1"/>
  </r>
  <r>
    <s v="CUS-6161-MN"/>
    <x v="0"/>
    <x v="0"/>
    <x v="11"/>
    <d v="2023-10-08T00:00:00"/>
    <n v="657"/>
    <n v="9"/>
    <x v="1"/>
    <s v="Sunday"/>
    <x v="4"/>
    <n v="2"/>
    <n v="249.15"/>
    <n v="498.3"/>
    <x v="0"/>
    <x v="1"/>
  </r>
  <r>
    <s v="CUS-6305-XY"/>
    <x v="2"/>
    <x v="0"/>
    <x v="2"/>
    <d v="2023-01-27T00:00:00"/>
    <n v="649"/>
    <n v="3"/>
    <x v="0"/>
    <s v="Friday"/>
    <x v="2"/>
    <n v="4"/>
    <n v="342.2"/>
    <n v="1368.8"/>
    <x v="2"/>
    <x v="1"/>
  </r>
  <r>
    <s v="CUS-7541-MN"/>
    <x v="2"/>
    <x v="0"/>
    <x v="6"/>
    <d v="2023-06-03T00:00:00"/>
    <n v="241"/>
    <n v="7"/>
    <x v="1"/>
    <s v="Saturday"/>
    <x v="4"/>
    <n v="4"/>
    <n v="471.33"/>
    <n v="1885.32"/>
    <x v="0"/>
    <x v="1"/>
  </r>
  <r>
    <s v="CUS-5729-AB"/>
    <x v="0"/>
    <x v="0"/>
    <x v="0"/>
    <d v="2023-11-03T00:00:00"/>
    <n v="711"/>
    <n v="1"/>
    <x v="2"/>
    <s v="Friday"/>
    <x v="1"/>
    <n v="2"/>
    <n v="78.8"/>
    <n v="157.6"/>
    <x v="3"/>
    <x v="1"/>
  </r>
  <r>
    <s v="CUS-8330-KL"/>
    <x v="0"/>
    <x v="0"/>
    <x v="8"/>
    <d v="2023-03-30T00:00:00"/>
    <n v="600"/>
    <n v="4"/>
    <x v="0"/>
    <s v="Thursday"/>
    <x v="2"/>
    <n v="4"/>
    <n v="421.13"/>
    <n v="1684.52"/>
    <x v="0"/>
    <x v="1"/>
  </r>
  <r>
    <s v="CUS-6334-AB"/>
    <x v="3"/>
    <x v="0"/>
    <x v="0"/>
    <d v="2023-11-04T00:00:00"/>
    <n v="939"/>
    <n v="4"/>
    <x v="0"/>
    <s v="Saturday"/>
    <x v="0"/>
    <n v="2"/>
    <n v="181.57"/>
    <n v="363.14"/>
    <x v="0"/>
    <x v="1"/>
  </r>
  <r>
    <s v="CUS-9924-KL"/>
    <x v="1"/>
    <x v="0"/>
    <x v="5"/>
    <d v="2023-02-20T00:00:00"/>
    <n v="801"/>
    <n v="7"/>
    <x v="1"/>
    <s v="Monday"/>
    <x v="1"/>
    <n v="2"/>
    <n v="249.76"/>
    <n v="499.52"/>
    <x v="2"/>
    <x v="1"/>
  </r>
  <r>
    <s v="CUS-5330-XY"/>
    <x v="4"/>
    <x v="0"/>
    <x v="2"/>
    <d v="2023-01-26T00:00:00"/>
    <n v="646"/>
    <n v="8"/>
    <x v="1"/>
    <s v="Thursday"/>
    <x v="2"/>
    <n v="2"/>
    <n v="59.86"/>
    <n v="119.72"/>
    <x v="1"/>
    <x v="1"/>
  </r>
  <r>
    <s v="CUS-9010-XY"/>
    <x v="0"/>
    <x v="0"/>
    <x v="1"/>
    <d v="2023-05-22T00:00:00"/>
    <n v="758"/>
    <n v="1"/>
    <x v="2"/>
    <s v="Monday"/>
    <x v="1"/>
    <n v="1"/>
    <n v="185.47"/>
    <n v="185.47"/>
    <x v="2"/>
    <x v="1"/>
  </r>
  <r>
    <s v="CUS-7801-XY"/>
    <x v="2"/>
    <x v="0"/>
    <x v="2"/>
    <d v="2023-01-19T00:00:00"/>
    <n v="641"/>
    <n v="5"/>
    <x v="0"/>
    <s v="Thursday"/>
    <x v="3"/>
    <n v="4"/>
    <n v="276.18"/>
    <n v="1104.72"/>
    <x v="2"/>
    <x v="1"/>
  </r>
  <r>
    <s v="CUS-5846-KL"/>
    <x v="0"/>
    <x v="0"/>
    <x v="4"/>
    <d v="2023-12-23T00:00:00"/>
    <n v="945"/>
    <n v="7"/>
    <x v="1"/>
    <s v="Saturday"/>
    <x v="1"/>
    <n v="3"/>
    <n v="75.28"/>
    <n v="225.84"/>
    <x v="3"/>
    <x v="1"/>
  </r>
  <r>
    <s v="CUS-7731-XY"/>
    <x v="1"/>
    <x v="0"/>
    <x v="0"/>
    <d v="2023-11-02T00:00:00"/>
    <n v="606"/>
    <n v="4"/>
    <x v="0"/>
    <s v="Thursday"/>
    <x v="4"/>
    <n v="3"/>
    <n v="270.99"/>
    <n v="812.97"/>
    <x v="0"/>
    <x v="1"/>
  </r>
  <r>
    <s v="CUS-8241-XY"/>
    <x v="2"/>
    <x v="0"/>
    <x v="11"/>
    <d v="2023-10-24T00:00:00"/>
    <n v="695"/>
    <n v="4"/>
    <x v="0"/>
    <s v="Tuesday"/>
    <x v="3"/>
    <n v="4"/>
    <n v="467.2"/>
    <n v="1868.8"/>
    <x v="0"/>
    <x v="1"/>
  </r>
  <r>
    <s v="CUS-1953-XY"/>
    <x v="0"/>
    <x v="0"/>
    <x v="9"/>
    <d v="2023-08-22T00:00:00"/>
    <n v="980"/>
    <n v="4"/>
    <x v="0"/>
    <s v="Tuesday"/>
    <x v="4"/>
    <n v="2"/>
    <n v="97.43"/>
    <n v="194.86"/>
    <x v="1"/>
    <x v="1"/>
  </r>
  <r>
    <s v="CUS-3539-AB"/>
    <x v="2"/>
    <x v="0"/>
    <x v="8"/>
    <d v="2023-03-26T00:00:00"/>
    <n v="380"/>
    <n v="6"/>
    <x v="0"/>
    <s v="Sunday"/>
    <x v="4"/>
    <n v="3"/>
    <n v="394"/>
    <n v="1182"/>
    <x v="3"/>
    <x v="1"/>
  </r>
  <r>
    <s v="CUS-8056-AB"/>
    <x v="2"/>
    <x v="0"/>
    <x v="3"/>
    <d v="2023-07-16T00:00:00"/>
    <n v="523"/>
    <n v="7"/>
    <x v="1"/>
    <s v="Sunday"/>
    <x v="3"/>
    <n v="3"/>
    <n v="234.35"/>
    <n v="703.05"/>
    <x v="2"/>
    <x v="1"/>
  </r>
  <r>
    <s v="CUS-2542-KL"/>
    <x v="2"/>
    <x v="0"/>
    <x v="9"/>
    <d v="2023-08-09T00:00:00"/>
    <n v="955"/>
    <n v="2"/>
    <x v="2"/>
    <s v="Wednesday"/>
    <x v="1"/>
    <n v="4"/>
    <n v="344.83"/>
    <n v="1379.32"/>
    <x v="0"/>
    <x v="1"/>
  </r>
  <r>
    <s v="CUS-6293-AB"/>
    <x v="0"/>
    <x v="0"/>
    <x v="3"/>
    <d v="2023-07-16T00:00:00"/>
    <n v="369"/>
    <n v="5"/>
    <x v="0"/>
    <s v="Sunday"/>
    <x v="1"/>
    <n v="3"/>
    <n v="167.11"/>
    <n v="501.33"/>
    <x v="2"/>
    <x v="1"/>
  </r>
  <r>
    <s v="CUS-2191-XY"/>
    <x v="0"/>
    <x v="0"/>
    <x v="10"/>
    <d v="2023-04-09T00:00:00"/>
    <n v="253"/>
    <n v="4"/>
    <x v="0"/>
    <s v="Sunday"/>
    <x v="3"/>
    <n v="2"/>
    <n v="121.77"/>
    <n v="243.54"/>
    <x v="1"/>
    <x v="1"/>
  </r>
  <r>
    <s v="CUS-7313-KL"/>
    <x v="3"/>
    <x v="0"/>
    <x v="3"/>
    <d v="2023-07-11T00:00:00"/>
    <n v="713"/>
    <n v="3"/>
    <x v="0"/>
    <s v="Tuesday"/>
    <x v="1"/>
    <n v="4"/>
    <n v="122.21"/>
    <n v="488.84"/>
    <x v="1"/>
    <x v="1"/>
  </r>
  <r>
    <s v="CUS-7938-MN"/>
    <x v="4"/>
    <x v="0"/>
    <x v="3"/>
    <d v="2023-07-06T00:00:00"/>
    <n v="826"/>
    <n v="7"/>
    <x v="1"/>
    <s v="Thursday"/>
    <x v="2"/>
    <n v="2"/>
    <n v="81.72"/>
    <n v="163.44"/>
    <x v="3"/>
    <x v="1"/>
  </r>
  <r>
    <s v="CUS-3681-MN"/>
    <x v="2"/>
    <x v="1"/>
    <x v="2"/>
    <d v="2024-01-05T00:00:00"/>
    <n v="761"/>
    <n v="6"/>
    <x v="0"/>
    <s v="Friday"/>
    <x v="1"/>
    <n v="3"/>
    <n v="133.54"/>
    <n v="400.62"/>
    <x v="1"/>
    <x v="1"/>
  </r>
  <r>
    <s v="CUS-2540-AB"/>
    <x v="0"/>
    <x v="0"/>
    <x v="4"/>
    <d v="2023-12-01T00:00:00"/>
    <n v="182"/>
    <n v="7"/>
    <x v="1"/>
    <s v="Friday"/>
    <x v="4"/>
    <n v="3"/>
    <n v="348.9"/>
    <n v="1046.7"/>
    <x v="3"/>
    <x v="1"/>
  </r>
  <r>
    <s v="CUS-7172-AB"/>
    <x v="0"/>
    <x v="0"/>
    <x v="6"/>
    <d v="2023-06-24T00:00:00"/>
    <n v="721"/>
    <n v="5"/>
    <x v="0"/>
    <s v="Saturday"/>
    <x v="2"/>
    <n v="2"/>
    <n v="446.76"/>
    <n v="893.52"/>
    <x v="0"/>
    <x v="1"/>
  </r>
  <r>
    <s v="CUS-6541-KL"/>
    <x v="3"/>
    <x v="0"/>
    <x v="9"/>
    <d v="2023-08-22T00:00:00"/>
    <n v="998"/>
    <n v="6"/>
    <x v="0"/>
    <s v="Tuesday"/>
    <x v="4"/>
    <n v="1"/>
    <n v="416.36"/>
    <n v="416.36"/>
    <x v="1"/>
    <x v="1"/>
  </r>
  <r>
    <s v="CUS-2365-KL"/>
    <x v="0"/>
    <x v="0"/>
    <x v="11"/>
    <d v="2023-10-05T00:00:00"/>
    <n v="525"/>
    <n v="5"/>
    <x v="0"/>
    <s v="Thursday"/>
    <x v="4"/>
    <n v="3"/>
    <n v="358.31"/>
    <n v="1074.93"/>
    <x v="3"/>
    <x v="1"/>
  </r>
  <r>
    <s v="CUS-9691-MN"/>
    <x v="3"/>
    <x v="0"/>
    <x v="2"/>
    <d v="2023-01-20T00:00:00"/>
    <n v="374"/>
    <n v="7"/>
    <x v="1"/>
    <s v="Friday"/>
    <x v="3"/>
    <n v="1"/>
    <n v="99.69"/>
    <n v="99.69"/>
    <x v="2"/>
    <x v="1"/>
  </r>
  <r>
    <s v="CUS-9702-XY"/>
    <x v="3"/>
    <x v="0"/>
    <x v="0"/>
    <d v="2023-11-25T00:00:00"/>
    <n v="812"/>
    <n v="2"/>
    <x v="2"/>
    <s v="Saturday"/>
    <x v="3"/>
    <n v="3"/>
    <n v="180.13"/>
    <n v="540.39"/>
    <x v="3"/>
    <x v="1"/>
  </r>
  <r>
    <s v="CUS-8494-KL"/>
    <x v="3"/>
    <x v="0"/>
    <x v="0"/>
    <d v="2023-11-15T00:00:00"/>
    <n v="383"/>
    <n v="5"/>
    <x v="0"/>
    <s v="Wednesday"/>
    <x v="2"/>
    <n v="1"/>
    <n v="189.41"/>
    <n v="189.41"/>
    <x v="2"/>
    <x v="1"/>
  </r>
  <r>
    <s v="CUS-5312-MN"/>
    <x v="1"/>
    <x v="0"/>
    <x v="6"/>
    <d v="2023-06-22T00:00:00"/>
    <n v="272"/>
    <n v="6"/>
    <x v="0"/>
    <s v="Thursday"/>
    <x v="3"/>
    <n v="1"/>
    <n v="162.47999999999999"/>
    <n v="162.47999999999999"/>
    <x v="0"/>
    <x v="1"/>
  </r>
  <r>
    <s v="CUS-2324-XY"/>
    <x v="4"/>
    <x v="0"/>
    <x v="1"/>
    <d v="2023-05-29T00:00:00"/>
    <n v="426"/>
    <n v="6"/>
    <x v="0"/>
    <s v="Monday"/>
    <x v="0"/>
    <n v="1"/>
    <n v="281.75"/>
    <n v="281.75"/>
    <x v="1"/>
    <x v="1"/>
  </r>
  <r>
    <s v="CUS-4141-MN"/>
    <x v="2"/>
    <x v="0"/>
    <x v="10"/>
    <d v="2023-04-15T00:00:00"/>
    <n v="817"/>
    <n v="5"/>
    <x v="0"/>
    <s v="Saturday"/>
    <x v="3"/>
    <n v="2"/>
    <n v="291"/>
    <n v="582"/>
    <x v="2"/>
    <x v="1"/>
  </r>
  <r>
    <s v="CUS-8419-MN"/>
    <x v="1"/>
    <x v="0"/>
    <x v="6"/>
    <d v="2023-06-30T00:00:00"/>
    <n v="162"/>
    <n v="7"/>
    <x v="1"/>
    <s v="Friday"/>
    <x v="3"/>
    <n v="1"/>
    <n v="210.6"/>
    <n v="210.6"/>
    <x v="1"/>
    <x v="1"/>
  </r>
  <r>
    <s v="CUS-4486-KL"/>
    <x v="4"/>
    <x v="0"/>
    <x v="2"/>
    <d v="2023-01-25T00:00:00"/>
    <n v="172"/>
    <n v="8"/>
    <x v="1"/>
    <s v="Wednesday"/>
    <x v="1"/>
    <n v="1"/>
    <n v="209.21"/>
    <n v="209.21"/>
    <x v="1"/>
    <x v="1"/>
  </r>
  <r>
    <s v="CUS-2810-MN"/>
    <x v="0"/>
    <x v="0"/>
    <x v="0"/>
    <d v="2023-11-15T00:00:00"/>
    <n v="862"/>
    <n v="7"/>
    <x v="1"/>
    <s v="Wednesday"/>
    <x v="3"/>
    <n v="1"/>
    <n v="422.85"/>
    <n v="422.85"/>
    <x v="3"/>
    <x v="1"/>
  </r>
  <r>
    <s v="CUS-7588-XY"/>
    <x v="2"/>
    <x v="0"/>
    <x v="2"/>
    <d v="2023-01-18T00:00:00"/>
    <n v="735"/>
    <n v="5"/>
    <x v="0"/>
    <s v="Wednesday"/>
    <x v="1"/>
    <n v="3"/>
    <n v="405.18"/>
    <n v="1215.54"/>
    <x v="0"/>
    <x v="1"/>
  </r>
  <r>
    <s v="CUS-3923-XY"/>
    <x v="1"/>
    <x v="0"/>
    <x v="1"/>
    <d v="2023-05-02T00:00:00"/>
    <n v="474"/>
    <n v="1"/>
    <x v="2"/>
    <s v="Tuesday"/>
    <x v="4"/>
    <n v="1"/>
    <n v="188.51"/>
    <n v="188.51"/>
    <x v="1"/>
    <x v="1"/>
  </r>
  <r>
    <s v="CUS-6301-XY"/>
    <x v="4"/>
    <x v="0"/>
    <x v="4"/>
    <d v="2023-12-12T00:00:00"/>
    <n v="732"/>
    <n v="5"/>
    <x v="0"/>
    <s v="Tuesday"/>
    <x v="2"/>
    <n v="3"/>
    <n v="461.2"/>
    <n v="1383.6"/>
    <x v="1"/>
    <x v="1"/>
  </r>
  <r>
    <s v="CUS-5186-AB"/>
    <x v="1"/>
    <x v="0"/>
    <x v="7"/>
    <d v="2023-09-28T00:00:00"/>
    <n v="607"/>
    <n v="2"/>
    <x v="2"/>
    <s v="Thursday"/>
    <x v="3"/>
    <n v="1"/>
    <n v="478.77"/>
    <n v="478.77"/>
    <x v="2"/>
    <x v="1"/>
  </r>
  <r>
    <s v="CUS-9905-XY"/>
    <x v="4"/>
    <x v="0"/>
    <x v="10"/>
    <d v="2023-04-18T00:00:00"/>
    <n v="886"/>
    <n v="5"/>
    <x v="0"/>
    <s v="Tuesday"/>
    <x v="4"/>
    <n v="1"/>
    <n v="197.03"/>
    <n v="197.03"/>
    <x v="3"/>
    <x v="1"/>
  </r>
  <r>
    <s v="CUS-6977-KL"/>
    <x v="2"/>
    <x v="0"/>
    <x v="10"/>
    <d v="2023-04-08T00:00:00"/>
    <n v="497"/>
    <n v="5"/>
    <x v="0"/>
    <s v="Saturday"/>
    <x v="2"/>
    <n v="2"/>
    <n v="209.49"/>
    <n v="418.98"/>
    <x v="3"/>
    <x v="1"/>
  </r>
  <r>
    <s v="CUS-5268-MN"/>
    <x v="1"/>
    <x v="0"/>
    <x v="2"/>
    <d v="2023-01-04T00:00:00"/>
    <n v="219"/>
    <n v="2"/>
    <x v="2"/>
    <s v="Wednesday"/>
    <x v="2"/>
    <n v="3"/>
    <n v="277.54000000000002"/>
    <n v="832.62"/>
    <x v="3"/>
    <x v="1"/>
  </r>
  <r>
    <s v="CUS-5748-KL"/>
    <x v="3"/>
    <x v="0"/>
    <x v="7"/>
    <d v="2023-09-16T00:00:00"/>
    <n v="536"/>
    <n v="5"/>
    <x v="0"/>
    <s v="Saturday"/>
    <x v="2"/>
    <n v="1"/>
    <n v="473.5"/>
    <n v="473.5"/>
    <x v="1"/>
    <x v="1"/>
  </r>
  <r>
    <s v="CUS-5849-KL"/>
    <x v="0"/>
    <x v="0"/>
    <x v="2"/>
    <d v="2023-01-22T00:00:00"/>
    <n v="928"/>
    <n v="4"/>
    <x v="0"/>
    <s v="Sunday"/>
    <x v="4"/>
    <n v="3"/>
    <n v="444.34"/>
    <n v="1333.02"/>
    <x v="0"/>
    <x v="1"/>
  </r>
  <r>
    <s v="CUS-4709-MN"/>
    <x v="1"/>
    <x v="0"/>
    <x v="3"/>
    <d v="2023-07-15T00:00:00"/>
    <n v="775"/>
    <n v="1"/>
    <x v="2"/>
    <s v="Saturday"/>
    <x v="3"/>
    <n v="3"/>
    <n v="96.16"/>
    <n v="288.48"/>
    <x v="1"/>
    <x v="1"/>
  </r>
  <r>
    <s v="CUS-7619-MN"/>
    <x v="4"/>
    <x v="0"/>
    <x v="4"/>
    <d v="2023-12-21T00:00:00"/>
    <n v="564"/>
    <n v="3"/>
    <x v="0"/>
    <s v="Thursday"/>
    <x v="4"/>
    <n v="4"/>
    <n v="226.73"/>
    <n v="906.92"/>
    <x v="1"/>
    <x v="1"/>
  </r>
  <r>
    <s v="CUS-9647-XY"/>
    <x v="4"/>
    <x v="0"/>
    <x v="5"/>
    <d v="2023-02-10T00:00:00"/>
    <n v="385"/>
    <n v="1"/>
    <x v="2"/>
    <s v="Friday"/>
    <x v="2"/>
    <n v="2"/>
    <n v="299.02"/>
    <n v="598.04"/>
    <x v="3"/>
    <x v="1"/>
  </r>
  <r>
    <s v="CUS-4072-AB"/>
    <x v="4"/>
    <x v="0"/>
    <x v="0"/>
    <d v="2023-11-28T00:00:00"/>
    <n v="364"/>
    <n v="5"/>
    <x v="0"/>
    <s v="Tuesday"/>
    <x v="2"/>
    <n v="2"/>
    <n v="276.41000000000003"/>
    <n v="552.82000000000005"/>
    <x v="3"/>
    <x v="1"/>
  </r>
  <r>
    <s v="CUS-7530-AB"/>
    <x v="4"/>
    <x v="1"/>
    <x v="2"/>
    <d v="2024-01-01T00:00:00"/>
    <n v="419"/>
    <n v="4"/>
    <x v="0"/>
    <s v="Monday"/>
    <x v="3"/>
    <n v="2"/>
    <n v="137.24"/>
    <n v="274.48"/>
    <x v="3"/>
    <x v="1"/>
  </r>
  <r>
    <s v="CUS-1504-KL"/>
    <x v="2"/>
    <x v="0"/>
    <x v="2"/>
    <d v="2023-01-30T00:00:00"/>
    <n v="772"/>
    <n v="7"/>
    <x v="1"/>
    <s v="Monday"/>
    <x v="4"/>
    <n v="4"/>
    <n v="436.47"/>
    <n v="1745.88"/>
    <x v="0"/>
    <x v="1"/>
  </r>
  <r>
    <s v="CUS-2214-AB"/>
    <x v="3"/>
    <x v="0"/>
    <x v="0"/>
    <d v="2023-11-24T00:00:00"/>
    <n v="475"/>
    <n v="5"/>
    <x v="0"/>
    <s v="Friday"/>
    <x v="2"/>
    <n v="4"/>
    <n v="354.62"/>
    <n v="1418.48"/>
    <x v="2"/>
    <x v="1"/>
  </r>
  <r>
    <s v="CUS-2531-AB"/>
    <x v="4"/>
    <x v="0"/>
    <x v="3"/>
    <d v="2023-07-12T00:00:00"/>
    <n v="919"/>
    <n v="4"/>
    <x v="0"/>
    <s v="Wednesday"/>
    <x v="4"/>
    <n v="2"/>
    <n v="427.06"/>
    <n v="854.12"/>
    <x v="2"/>
    <x v="1"/>
  </r>
  <r>
    <s v="CUS-8576-KL"/>
    <x v="4"/>
    <x v="0"/>
    <x v="0"/>
    <d v="2023-11-29T00:00:00"/>
    <n v="188"/>
    <n v="2"/>
    <x v="2"/>
    <s v="Wednesday"/>
    <x v="3"/>
    <n v="4"/>
    <n v="436.44"/>
    <n v="1745.76"/>
    <x v="3"/>
    <x v="1"/>
  </r>
  <r>
    <s v="CUS-1823-MN"/>
    <x v="4"/>
    <x v="0"/>
    <x v="9"/>
    <d v="2023-08-01T00:00:00"/>
    <n v="753"/>
    <n v="4"/>
    <x v="0"/>
    <s v="Tuesday"/>
    <x v="2"/>
    <n v="4"/>
    <n v="386.76"/>
    <n v="1547.04"/>
    <x v="0"/>
    <x v="1"/>
  </r>
  <r>
    <s v="CUS-1928-MN"/>
    <x v="1"/>
    <x v="0"/>
    <x v="7"/>
    <d v="2023-09-01T00:00:00"/>
    <n v="302"/>
    <n v="2"/>
    <x v="2"/>
    <s v="Friday"/>
    <x v="4"/>
    <n v="4"/>
    <n v="247.64"/>
    <n v="990.56"/>
    <x v="0"/>
    <x v="1"/>
  </r>
  <r>
    <s v="CUS-6029-XY"/>
    <x v="4"/>
    <x v="0"/>
    <x v="3"/>
    <d v="2023-07-26T00:00:00"/>
    <n v="920"/>
    <n v="8"/>
    <x v="1"/>
    <s v="Wednesday"/>
    <x v="4"/>
    <n v="2"/>
    <n v="324.75"/>
    <n v="649.5"/>
    <x v="0"/>
    <x v="1"/>
  </r>
  <r>
    <s v="CUS-1133-XY"/>
    <x v="2"/>
    <x v="0"/>
    <x v="0"/>
    <d v="2023-11-15T00:00:00"/>
    <n v="838"/>
    <n v="3"/>
    <x v="0"/>
    <s v="Wednesday"/>
    <x v="4"/>
    <n v="2"/>
    <n v="122.16"/>
    <n v="244.32"/>
    <x v="0"/>
    <x v="1"/>
  </r>
  <r>
    <s v="CUS-3105-MN"/>
    <x v="4"/>
    <x v="0"/>
    <x v="11"/>
    <d v="2023-10-04T00:00:00"/>
    <n v="433"/>
    <n v="9"/>
    <x v="1"/>
    <s v="Wednesday"/>
    <x v="3"/>
    <n v="2"/>
    <n v="353.14"/>
    <n v="706.28"/>
    <x v="0"/>
    <x v="1"/>
  </r>
  <r>
    <s v="CUS-4627-MN"/>
    <x v="2"/>
    <x v="0"/>
    <x v="3"/>
    <d v="2023-07-14T00:00:00"/>
    <n v="321"/>
    <n v="4"/>
    <x v="0"/>
    <s v="Friday"/>
    <x v="1"/>
    <n v="4"/>
    <n v="130.66"/>
    <n v="522.64"/>
    <x v="3"/>
    <x v="1"/>
  </r>
  <r>
    <s v="CUS-7316-XY"/>
    <x v="4"/>
    <x v="0"/>
    <x v="0"/>
    <d v="2023-11-19T00:00:00"/>
    <n v="140"/>
    <n v="6"/>
    <x v="0"/>
    <s v="Sunday"/>
    <x v="1"/>
    <n v="2"/>
    <n v="362.28"/>
    <n v="724.56"/>
    <x v="3"/>
    <x v="1"/>
  </r>
  <r>
    <s v="CUS-2852-AB"/>
    <x v="2"/>
    <x v="0"/>
    <x v="10"/>
    <d v="2023-04-05T00:00:00"/>
    <n v="807"/>
    <n v="5"/>
    <x v="0"/>
    <s v="Wednesday"/>
    <x v="4"/>
    <n v="4"/>
    <n v="153.32"/>
    <n v="613.28"/>
    <x v="1"/>
    <x v="1"/>
  </r>
  <r>
    <s v="CUS-5910-XY"/>
    <x v="0"/>
    <x v="0"/>
    <x v="5"/>
    <d v="2023-02-28T00:00:00"/>
    <n v="167"/>
    <n v="1"/>
    <x v="2"/>
    <s v="Tuesday"/>
    <x v="3"/>
    <n v="1"/>
    <n v="102.9"/>
    <n v="102.9"/>
    <x v="1"/>
    <x v="1"/>
  </r>
  <r>
    <s v="CUS-5175-AB"/>
    <x v="1"/>
    <x v="0"/>
    <x v="8"/>
    <d v="2023-03-09T00:00:00"/>
    <n v="875"/>
    <n v="9"/>
    <x v="1"/>
    <s v="Thursday"/>
    <x v="4"/>
    <n v="4"/>
    <n v="124.38"/>
    <n v="497.52"/>
    <x v="1"/>
    <x v="1"/>
  </r>
  <r>
    <s v="CUS-6348-XY"/>
    <x v="1"/>
    <x v="0"/>
    <x v="1"/>
    <d v="2023-05-03T00:00:00"/>
    <n v="613"/>
    <n v="1"/>
    <x v="2"/>
    <s v="Wednesday"/>
    <x v="4"/>
    <n v="3"/>
    <n v="50.9"/>
    <n v="152.69999999999999"/>
    <x v="0"/>
    <x v="1"/>
  </r>
  <r>
    <s v="CUS-7190-KL"/>
    <x v="4"/>
    <x v="0"/>
    <x v="10"/>
    <d v="2023-04-06T00:00:00"/>
    <n v="972"/>
    <n v="8"/>
    <x v="1"/>
    <s v="Thursday"/>
    <x v="3"/>
    <n v="2"/>
    <n v="373.43"/>
    <n v="746.86"/>
    <x v="0"/>
    <x v="1"/>
  </r>
  <r>
    <s v="CUS-2256-AB"/>
    <x v="3"/>
    <x v="0"/>
    <x v="4"/>
    <d v="2023-12-15T00:00:00"/>
    <n v="736"/>
    <n v="9"/>
    <x v="1"/>
    <s v="Friday"/>
    <x v="2"/>
    <n v="2"/>
    <n v="379.58"/>
    <n v="759.16"/>
    <x v="1"/>
    <x v="1"/>
  </r>
  <r>
    <s v="CUS-4376-XY"/>
    <x v="4"/>
    <x v="0"/>
    <x v="5"/>
    <d v="2023-02-17T00:00:00"/>
    <n v="721"/>
    <n v="9"/>
    <x v="1"/>
    <s v="Friday"/>
    <x v="1"/>
    <n v="3"/>
    <n v="281.72000000000003"/>
    <n v="845.16"/>
    <x v="1"/>
    <x v="1"/>
  </r>
  <r>
    <s v="CUS-6645-AB"/>
    <x v="1"/>
    <x v="0"/>
    <x v="7"/>
    <d v="2023-09-14T00:00:00"/>
    <n v="697"/>
    <n v="1"/>
    <x v="2"/>
    <s v="Thursday"/>
    <x v="3"/>
    <n v="4"/>
    <n v="122.61"/>
    <n v="490.44"/>
    <x v="0"/>
    <x v="1"/>
  </r>
  <r>
    <s v="CUS-4486-MN"/>
    <x v="2"/>
    <x v="0"/>
    <x v="8"/>
    <d v="2023-03-13T00:00:00"/>
    <n v="731"/>
    <n v="2"/>
    <x v="2"/>
    <s v="Monday"/>
    <x v="3"/>
    <n v="1"/>
    <n v="87.6"/>
    <n v="87.6"/>
    <x v="3"/>
    <x v="1"/>
  </r>
  <r>
    <s v="CUS-4584-XY"/>
    <x v="2"/>
    <x v="0"/>
    <x v="0"/>
    <d v="2023-11-19T00:00:00"/>
    <n v="226"/>
    <n v="1"/>
    <x v="2"/>
    <s v="Sunday"/>
    <x v="3"/>
    <n v="3"/>
    <n v="58.61"/>
    <n v="175.83"/>
    <x v="3"/>
    <x v="1"/>
  </r>
  <r>
    <s v="CUS-9053-KL"/>
    <x v="2"/>
    <x v="0"/>
    <x v="4"/>
    <d v="2023-12-19T00:00:00"/>
    <n v="354"/>
    <n v="2"/>
    <x v="2"/>
    <s v="Tuesday"/>
    <x v="2"/>
    <n v="3"/>
    <n v="124.59"/>
    <n v="373.77"/>
    <x v="1"/>
    <x v="1"/>
  </r>
  <r>
    <s v="CUS-4330-AB"/>
    <x v="4"/>
    <x v="0"/>
    <x v="6"/>
    <d v="2023-06-27T00:00:00"/>
    <n v="794"/>
    <n v="8"/>
    <x v="1"/>
    <s v="Tuesday"/>
    <x v="1"/>
    <n v="4"/>
    <n v="450.88"/>
    <n v="1803.52"/>
    <x v="1"/>
    <x v="1"/>
  </r>
  <r>
    <s v="CUS-3703-MN"/>
    <x v="0"/>
    <x v="0"/>
    <x v="0"/>
    <d v="2023-11-22T00:00:00"/>
    <n v="115"/>
    <n v="5"/>
    <x v="0"/>
    <s v="Wednesday"/>
    <x v="1"/>
    <n v="2"/>
    <n v="158.69"/>
    <n v="317.38"/>
    <x v="2"/>
    <x v="1"/>
  </r>
  <r>
    <s v="CUS-9662-XY"/>
    <x v="4"/>
    <x v="0"/>
    <x v="2"/>
    <d v="2023-01-09T00:00:00"/>
    <n v="576"/>
    <n v="7"/>
    <x v="1"/>
    <s v="Monday"/>
    <x v="0"/>
    <n v="4"/>
    <n v="209.42"/>
    <n v="837.68"/>
    <x v="1"/>
    <x v="1"/>
  </r>
  <r>
    <s v="CUS-9120-MN"/>
    <x v="0"/>
    <x v="0"/>
    <x v="11"/>
    <d v="2023-10-29T00:00:00"/>
    <n v="161"/>
    <n v="2"/>
    <x v="2"/>
    <s v="Sunday"/>
    <x v="1"/>
    <n v="3"/>
    <n v="97.41"/>
    <n v="292.23"/>
    <x v="2"/>
    <x v="1"/>
  </r>
  <r>
    <s v="CUS-8114-MN"/>
    <x v="1"/>
    <x v="0"/>
    <x v="10"/>
    <d v="2023-04-02T00:00:00"/>
    <n v="980"/>
    <n v="8"/>
    <x v="1"/>
    <s v="Sunday"/>
    <x v="2"/>
    <n v="3"/>
    <n v="150.06"/>
    <n v="450.18"/>
    <x v="0"/>
    <x v="1"/>
  </r>
  <r>
    <s v="CUS-2353-MN"/>
    <x v="4"/>
    <x v="0"/>
    <x v="4"/>
    <d v="2023-12-04T00:00:00"/>
    <n v="531"/>
    <n v="6"/>
    <x v="0"/>
    <s v="Monday"/>
    <x v="1"/>
    <n v="2"/>
    <n v="283.64999999999998"/>
    <n v="567.29999999999995"/>
    <x v="3"/>
    <x v="1"/>
  </r>
  <r>
    <s v="CUS-6063-XY"/>
    <x v="4"/>
    <x v="0"/>
    <x v="2"/>
    <d v="2023-01-09T00:00:00"/>
    <n v="769"/>
    <n v="8"/>
    <x v="1"/>
    <s v="Monday"/>
    <x v="1"/>
    <n v="2"/>
    <n v="323.49"/>
    <n v="646.98"/>
    <x v="3"/>
    <x v="1"/>
  </r>
  <r>
    <s v="CUS-9549-XY"/>
    <x v="1"/>
    <x v="0"/>
    <x v="3"/>
    <d v="2023-07-24T00:00:00"/>
    <n v="367"/>
    <n v="1"/>
    <x v="2"/>
    <s v="Monday"/>
    <x v="4"/>
    <n v="2"/>
    <n v="160.41"/>
    <n v="320.82"/>
    <x v="0"/>
    <x v="1"/>
  </r>
  <r>
    <s v="CUS-8575-AB"/>
    <x v="2"/>
    <x v="0"/>
    <x v="11"/>
    <d v="2023-10-05T00:00:00"/>
    <n v="134"/>
    <n v="1"/>
    <x v="2"/>
    <s v="Thursday"/>
    <x v="4"/>
    <n v="4"/>
    <n v="75.98"/>
    <n v="303.92"/>
    <x v="0"/>
    <x v="1"/>
  </r>
  <r>
    <s v="CUS-1667-XY"/>
    <x v="1"/>
    <x v="0"/>
    <x v="10"/>
    <d v="2023-04-12T00:00:00"/>
    <n v="878"/>
    <n v="7"/>
    <x v="1"/>
    <s v="Wednesday"/>
    <x v="1"/>
    <n v="2"/>
    <n v="225.96"/>
    <n v="451.92"/>
    <x v="2"/>
    <x v="1"/>
  </r>
  <r>
    <s v="CUS-5468-XY"/>
    <x v="4"/>
    <x v="0"/>
    <x v="8"/>
    <d v="2023-03-20T00:00:00"/>
    <n v="675"/>
    <n v="8"/>
    <x v="1"/>
    <s v="Monday"/>
    <x v="1"/>
    <n v="3"/>
    <n v="155.38999999999999"/>
    <n v="466.17"/>
    <x v="1"/>
    <x v="1"/>
  </r>
  <r>
    <s v="CUS-7819-KL"/>
    <x v="0"/>
    <x v="0"/>
    <x v="5"/>
    <d v="2023-02-03T00:00:00"/>
    <n v="593"/>
    <n v="3"/>
    <x v="0"/>
    <s v="Friday"/>
    <x v="0"/>
    <n v="3"/>
    <n v="148.80000000000001"/>
    <n v="446.4"/>
    <x v="2"/>
    <x v="1"/>
  </r>
  <r>
    <s v="CUS-4719-MN"/>
    <x v="0"/>
    <x v="0"/>
    <x v="1"/>
    <d v="2023-05-05T00:00:00"/>
    <n v="661"/>
    <n v="5"/>
    <x v="0"/>
    <s v="Friday"/>
    <x v="4"/>
    <n v="1"/>
    <n v="481.94"/>
    <n v="481.94"/>
    <x v="0"/>
    <x v="1"/>
  </r>
  <r>
    <s v="CUS-3745-XY"/>
    <x v="3"/>
    <x v="0"/>
    <x v="3"/>
    <d v="2023-07-25T00:00:00"/>
    <n v="568"/>
    <n v="1"/>
    <x v="2"/>
    <s v="Tuesday"/>
    <x v="0"/>
    <n v="4"/>
    <n v="327.33999999999997"/>
    <n v="1309.3599999999999"/>
    <x v="1"/>
    <x v="1"/>
  </r>
  <r>
    <s v="CUS-8483-MN"/>
    <x v="0"/>
    <x v="0"/>
    <x v="5"/>
    <d v="2023-02-19T00:00:00"/>
    <n v="866"/>
    <n v="7"/>
    <x v="1"/>
    <s v="Sunday"/>
    <x v="1"/>
    <n v="1"/>
    <n v="300.60000000000002"/>
    <n v="300.60000000000002"/>
    <x v="2"/>
    <x v="1"/>
  </r>
  <r>
    <s v="CUS-1539-MN"/>
    <x v="4"/>
    <x v="0"/>
    <x v="1"/>
    <d v="2023-05-23T00:00:00"/>
    <n v="760"/>
    <n v="5"/>
    <x v="0"/>
    <s v="Tuesday"/>
    <x v="2"/>
    <n v="3"/>
    <n v="237.1"/>
    <n v="711.3"/>
    <x v="2"/>
    <x v="1"/>
  </r>
  <r>
    <s v="CUS-5964-MN"/>
    <x v="1"/>
    <x v="0"/>
    <x v="2"/>
    <d v="2023-01-12T00:00:00"/>
    <n v="424"/>
    <n v="8"/>
    <x v="1"/>
    <s v="Thursday"/>
    <x v="1"/>
    <n v="1"/>
    <n v="243.02"/>
    <n v="243.02"/>
    <x v="3"/>
    <x v="1"/>
  </r>
  <r>
    <s v="CUS-5835-KL"/>
    <x v="0"/>
    <x v="0"/>
    <x v="0"/>
    <d v="2023-11-03T00:00:00"/>
    <n v="403"/>
    <n v="8"/>
    <x v="1"/>
    <s v="Friday"/>
    <x v="4"/>
    <n v="3"/>
    <n v="293.41000000000003"/>
    <n v="880.23"/>
    <x v="2"/>
    <x v="1"/>
  </r>
  <r>
    <s v="CUS-4775-KL"/>
    <x v="4"/>
    <x v="0"/>
    <x v="5"/>
    <d v="2023-02-25T00:00:00"/>
    <n v="375"/>
    <n v="9"/>
    <x v="1"/>
    <s v="Saturday"/>
    <x v="2"/>
    <n v="1"/>
    <n v="363.39"/>
    <n v="363.39"/>
    <x v="2"/>
    <x v="1"/>
  </r>
  <r>
    <s v="CUS-7042-AB"/>
    <x v="4"/>
    <x v="0"/>
    <x v="10"/>
    <d v="2023-04-21T00:00:00"/>
    <n v="968"/>
    <n v="7"/>
    <x v="1"/>
    <s v="Friday"/>
    <x v="0"/>
    <n v="2"/>
    <n v="365.97"/>
    <n v="731.94"/>
    <x v="1"/>
    <x v="1"/>
  </r>
  <r>
    <s v="CUS-8102-XY"/>
    <x v="4"/>
    <x v="0"/>
    <x v="2"/>
    <d v="2023-01-08T00:00:00"/>
    <n v="783"/>
    <n v="1"/>
    <x v="2"/>
    <s v="Sunday"/>
    <x v="2"/>
    <n v="1"/>
    <n v="127.26"/>
    <n v="127.26"/>
    <x v="0"/>
    <x v="1"/>
  </r>
  <r>
    <s v="CUS-8312-AB"/>
    <x v="4"/>
    <x v="0"/>
    <x v="6"/>
    <d v="2023-06-10T00:00:00"/>
    <n v="300"/>
    <n v="3"/>
    <x v="0"/>
    <s v="Saturday"/>
    <x v="1"/>
    <n v="2"/>
    <n v="275.05"/>
    <n v="550.1"/>
    <x v="3"/>
    <x v="1"/>
  </r>
  <r>
    <s v="CUS-6320-AB"/>
    <x v="0"/>
    <x v="0"/>
    <x v="0"/>
    <d v="2023-11-11T00:00:00"/>
    <n v="544"/>
    <n v="8"/>
    <x v="1"/>
    <s v="Saturday"/>
    <x v="0"/>
    <n v="2"/>
    <n v="235.38"/>
    <n v="470.76"/>
    <x v="3"/>
    <x v="1"/>
  </r>
  <r>
    <s v="CUS-7132-AB"/>
    <x v="4"/>
    <x v="0"/>
    <x v="1"/>
    <d v="2023-05-27T00:00:00"/>
    <n v="423"/>
    <n v="3"/>
    <x v="0"/>
    <s v="Saturday"/>
    <x v="4"/>
    <n v="4"/>
    <n v="441.74"/>
    <n v="1766.96"/>
    <x v="0"/>
    <x v="1"/>
  </r>
  <r>
    <s v="CUS-8891-MN"/>
    <x v="3"/>
    <x v="0"/>
    <x v="8"/>
    <d v="2023-03-15T00:00:00"/>
    <n v="134"/>
    <n v="8"/>
    <x v="1"/>
    <s v="Wednesday"/>
    <x v="0"/>
    <n v="2"/>
    <n v="334.14"/>
    <n v="668.28"/>
    <x v="2"/>
    <x v="1"/>
  </r>
  <r>
    <s v="CUS-3779-KL"/>
    <x v="4"/>
    <x v="0"/>
    <x v="11"/>
    <d v="2023-10-04T00:00:00"/>
    <n v="581"/>
    <n v="1"/>
    <x v="2"/>
    <s v="Wednesday"/>
    <x v="3"/>
    <n v="2"/>
    <n v="289.63"/>
    <n v="579.26"/>
    <x v="3"/>
    <x v="1"/>
  </r>
  <r>
    <s v="CUS-1924-AB"/>
    <x v="1"/>
    <x v="0"/>
    <x v="11"/>
    <d v="2023-10-20T00:00:00"/>
    <n v="827"/>
    <n v="5"/>
    <x v="0"/>
    <s v="Friday"/>
    <x v="0"/>
    <n v="1"/>
    <n v="101.93"/>
    <n v="101.93"/>
    <x v="2"/>
    <x v="1"/>
  </r>
  <r>
    <s v="CUS-2581-KL"/>
    <x v="1"/>
    <x v="0"/>
    <x v="8"/>
    <d v="2023-03-09T00:00:00"/>
    <n v="579"/>
    <n v="4"/>
    <x v="0"/>
    <s v="Thursday"/>
    <x v="0"/>
    <n v="3"/>
    <n v="322.54000000000002"/>
    <n v="967.62"/>
    <x v="3"/>
    <x v="1"/>
  </r>
  <r>
    <s v="CUS-8714-AB"/>
    <x v="0"/>
    <x v="0"/>
    <x v="11"/>
    <d v="2023-10-14T00:00:00"/>
    <n v="164"/>
    <n v="5"/>
    <x v="0"/>
    <s v="Saturday"/>
    <x v="0"/>
    <n v="4"/>
    <n v="102.74"/>
    <n v="410.96"/>
    <x v="2"/>
    <x v="1"/>
  </r>
  <r>
    <s v="CUS-4324-XY"/>
    <x v="1"/>
    <x v="0"/>
    <x v="4"/>
    <d v="2023-12-20T00:00:00"/>
    <n v="107"/>
    <n v="8"/>
    <x v="1"/>
    <s v="Wednesday"/>
    <x v="1"/>
    <n v="2"/>
    <n v="201.74"/>
    <n v="403.48"/>
    <x v="1"/>
    <x v="1"/>
  </r>
  <r>
    <s v="CUS-6713-KL"/>
    <x v="2"/>
    <x v="0"/>
    <x v="8"/>
    <d v="2023-03-06T00:00:00"/>
    <n v="400"/>
    <n v="4"/>
    <x v="0"/>
    <s v="Monday"/>
    <x v="1"/>
    <n v="4"/>
    <n v="114.28"/>
    <n v="457.12"/>
    <x v="1"/>
    <x v="1"/>
  </r>
  <r>
    <s v="CUS-8026-XY"/>
    <x v="2"/>
    <x v="0"/>
    <x v="11"/>
    <d v="2023-10-13T00:00:00"/>
    <n v="442"/>
    <n v="4"/>
    <x v="0"/>
    <s v="Friday"/>
    <x v="0"/>
    <n v="1"/>
    <n v="361.43"/>
    <n v="361.43"/>
    <x v="2"/>
    <x v="1"/>
  </r>
  <r>
    <s v="CUS-1255-AB"/>
    <x v="3"/>
    <x v="0"/>
    <x v="7"/>
    <d v="2023-09-19T00:00:00"/>
    <n v="530"/>
    <n v="3"/>
    <x v="0"/>
    <s v="Tuesday"/>
    <x v="3"/>
    <n v="2"/>
    <n v="142.81"/>
    <n v="285.62"/>
    <x v="1"/>
    <x v="1"/>
  </r>
  <r>
    <s v="CUS-5804-KL"/>
    <x v="3"/>
    <x v="0"/>
    <x v="6"/>
    <d v="2023-06-29T00:00:00"/>
    <n v="523"/>
    <n v="7"/>
    <x v="1"/>
    <s v="Thursday"/>
    <x v="1"/>
    <n v="1"/>
    <n v="226.34"/>
    <n v="226.34"/>
    <x v="0"/>
    <x v="1"/>
  </r>
  <r>
    <s v="CUS-2838-XY"/>
    <x v="2"/>
    <x v="0"/>
    <x v="2"/>
    <d v="2023-01-25T00:00:00"/>
    <n v="431"/>
    <n v="3"/>
    <x v="0"/>
    <s v="Wednesday"/>
    <x v="4"/>
    <n v="4"/>
    <n v="453.05"/>
    <n v="1812.2"/>
    <x v="3"/>
    <x v="1"/>
  </r>
  <r>
    <s v="CUS-1009-MN"/>
    <x v="2"/>
    <x v="0"/>
    <x v="2"/>
    <d v="2023-01-31T00:00:00"/>
    <n v="537"/>
    <n v="3"/>
    <x v="0"/>
    <s v="Tuesday"/>
    <x v="3"/>
    <n v="1"/>
    <n v="141.94"/>
    <n v="141.94"/>
    <x v="0"/>
    <x v="1"/>
  </r>
  <r>
    <s v="CUS-3871-XY"/>
    <x v="4"/>
    <x v="0"/>
    <x v="0"/>
    <d v="2023-11-13T00:00:00"/>
    <n v="687"/>
    <n v="5"/>
    <x v="0"/>
    <s v="Monday"/>
    <x v="4"/>
    <n v="4"/>
    <n v="278.51"/>
    <n v="1114.04"/>
    <x v="2"/>
    <x v="1"/>
  </r>
  <r>
    <s v="CUS-9989-MN"/>
    <x v="1"/>
    <x v="1"/>
    <x v="2"/>
    <d v="2024-01-02T00:00:00"/>
    <n v="273"/>
    <n v="5"/>
    <x v="0"/>
    <s v="Tuesday"/>
    <x v="0"/>
    <n v="1"/>
    <n v="238.67"/>
    <n v="238.67"/>
    <x v="1"/>
    <x v="1"/>
  </r>
  <r>
    <s v="CUS-8409-KL"/>
    <x v="4"/>
    <x v="0"/>
    <x v="7"/>
    <d v="2023-09-10T00:00:00"/>
    <n v="658"/>
    <n v="6"/>
    <x v="0"/>
    <s v="Sunday"/>
    <x v="0"/>
    <n v="4"/>
    <n v="58.16"/>
    <n v="232.64"/>
    <x v="0"/>
    <x v="1"/>
  </r>
  <r>
    <s v="CUS-8418-MN"/>
    <x v="2"/>
    <x v="0"/>
    <x v="6"/>
    <d v="2023-06-20T00:00:00"/>
    <n v="626"/>
    <n v="8"/>
    <x v="1"/>
    <s v="Tuesday"/>
    <x v="3"/>
    <n v="3"/>
    <n v="406.74"/>
    <n v="1220.22"/>
    <x v="0"/>
    <x v="1"/>
  </r>
  <r>
    <s v="CUS-6124-XY"/>
    <x v="0"/>
    <x v="0"/>
    <x v="9"/>
    <d v="2023-08-31T00:00:00"/>
    <n v="972"/>
    <n v="6"/>
    <x v="0"/>
    <s v="Thursday"/>
    <x v="4"/>
    <n v="1"/>
    <n v="81.069999999999993"/>
    <n v="81.069999999999993"/>
    <x v="0"/>
    <x v="1"/>
  </r>
  <r>
    <s v="CUS-2015-MN"/>
    <x v="3"/>
    <x v="0"/>
    <x v="9"/>
    <d v="2023-08-06T00:00:00"/>
    <n v="758"/>
    <n v="1"/>
    <x v="2"/>
    <s v="Sunday"/>
    <x v="1"/>
    <n v="1"/>
    <n v="263.41000000000003"/>
    <n v="263.41000000000003"/>
    <x v="3"/>
    <x v="1"/>
  </r>
  <r>
    <s v="CUS-3193-AB"/>
    <x v="0"/>
    <x v="0"/>
    <x v="1"/>
    <d v="2023-05-29T00:00:00"/>
    <n v="125"/>
    <n v="8"/>
    <x v="1"/>
    <s v="Monday"/>
    <x v="1"/>
    <n v="3"/>
    <n v="302.31"/>
    <n v="906.93"/>
    <x v="2"/>
    <x v="1"/>
  </r>
  <r>
    <s v="CUS-9415-MN"/>
    <x v="4"/>
    <x v="0"/>
    <x v="5"/>
    <d v="2023-02-01T00:00:00"/>
    <n v="919"/>
    <n v="8"/>
    <x v="1"/>
    <s v="Wednesday"/>
    <x v="1"/>
    <n v="3"/>
    <n v="332.79"/>
    <n v="998.37"/>
    <x v="2"/>
    <x v="1"/>
  </r>
  <r>
    <s v="CUS-8449-KL"/>
    <x v="3"/>
    <x v="0"/>
    <x v="0"/>
    <d v="2023-11-05T00:00:00"/>
    <n v="704"/>
    <n v="9"/>
    <x v="1"/>
    <s v="Sunday"/>
    <x v="3"/>
    <n v="1"/>
    <n v="359.88"/>
    <n v="359.88"/>
    <x v="1"/>
    <x v="1"/>
  </r>
  <r>
    <s v="CUS-5158-AB"/>
    <x v="2"/>
    <x v="0"/>
    <x v="1"/>
    <d v="2023-05-25T00:00:00"/>
    <n v="505"/>
    <n v="9"/>
    <x v="1"/>
    <s v="Thursday"/>
    <x v="3"/>
    <n v="3"/>
    <n v="163.97"/>
    <n v="491.91"/>
    <x v="1"/>
    <x v="1"/>
  </r>
  <r>
    <s v="CUS-4925-XY"/>
    <x v="4"/>
    <x v="0"/>
    <x v="11"/>
    <d v="2023-10-28T00:00:00"/>
    <n v="331"/>
    <n v="2"/>
    <x v="2"/>
    <s v="Saturday"/>
    <x v="2"/>
    <n v="2"/>
    <n v="54.49"/>
    <n v="108.98"/>
    <x v="3"/>
    <x v="1"/>
  </r>
  <r>
    <s v="CUS-7970-AB"/>
    <x v="1"/>
    <x v="0"/>
    <x v="10"/>
    <d v="2023-04-05T00:00:00"/>
    <n v="632"/>
    <n v="2"/>
    <x v="2"/>
    <s v="Wednesday"/>
    <x v="4"/>
    <n v="4"/>
    <n v="375.55"/>
    <n v="1502.2"/>
    <x v="3"/>
    <x v="1"/>
  </r>
  <r>
    <s v="CUS-7938-XY"/>
    <x v="3"/>
    <x v="0"/>
    <x v="2"/>
    <d v="2023-01-04T00:00:00"/>
    <n v="918"/>
    <n v="3"/>
    <x v="0"/>
    <s v="Wednesday"/>
    <x v="0"/>
    <n v="4"/>
    <n v="291.05"/>
    <n v="1164.2"/>
    <x v="0"/>
    <x v="1"/>
  </r>
  <r>
    <s v="CUS-5784-AB"/>
    <x v="1"/>
    <x v="0"/>
    <x v="8"/>
    <d v="2023-03-01T00:00:00"/>
    <n v="649"/>
    <n v="1"/>
    <x v="2"/>
    <s v="Wednesday"/>
    <x v="0"/>
    <n v="4"/>
    <n v="426.25"/>
    <n v="1705"/>
    <x v="0"/>
    <x v="1"/>
  </r>
  <r>
    <s v="CUS-5000-XY"/>
    <x v="0"/>
    <x v="0"/>
    <x v="6"/>
    <d v="2023-06-25T00:00:00"/>
    <n v="887"/>
    <n v="4"/>
    <x v="0"/>
    <s v="Sunday"/>
    <x v="2"/>
    <n v="2"/>
    <n v="419.62"/>
    <n v="839.24"/>
    <x v="0"/>
    <x v="1"/>
  </r>
  <r>
    <s v="CUS-2633-KL"/>
    <x v="0"/>
    <x v="0"/>
    <x v="4"/>
    <d v="2023-12-15T00:00:00"/>
    <n v="604"/>
    <n v="4"/>
    <x v="0"/>
    <s v="Friday"/>
    <x v="1"/>
    <n v="3"/>
    <n v="429.5"/>
    <n v="1288.5"/>
    <x v="3"/>
    <x v="1"/>
  </r>
  <r>
    <s v="CUS-8266-MN"/>
    <x v="3"/>
    <x v="0"/>
    <x v="5"/>
    <d v="2023-02-16T00:00:00"/>
    <n v="768"/>
    <n v="9"/>
    <x v="1"/>
    <s v="Thursday"/>
    <x v="3"/>
    <n v="3"/>
    <n v="268.29000000000002"/>
    <n v="804.87"/>
    <x v="3"/>
    <x v="1"/>
  </r>
  <r>
    <s v="CUS-9702-AB"/>
    <x v="2"/>
    <x v="0"/>
    <x v="0"/>
    <d v="2023-11-17T00:00:00"/>
    <n v="278"/>
    <n v="9"/>
    <x v="1"/>
    <s v="Friday"/>
    <x v="1"/>
    <n v="1"/>
    <n v="200.13"/>
    <n v="200.13"/>
    <x v="3"/>
    <x v="1"/>
  </r>
  <r>
    <s v="CUS-1384-XY"/>
    <x v="3"/>
    <x v="0"/>
    <x v="3"/>
    <d v="2023-07-21T00:00:00"/>
    <n v="231"/>
    <n v="9"/>
    <x v="1"/>
    <s v="Friday"/>
    <x v="2"/>
    <n v="3"/>
    <n v="406.2"/>
    <n v="1218.5999999999999"/>
    <x v="2"/>
    <x v="1"/>
  </r>
  <r>
    <s v="CUS-1404-AB"/>
    <x v="3"/>
    <x v="0"/>
    <x v="0"/>
    <d v="2023-11-05T00:00:00"/>
    <n v="922"/>
    <n v="7"/>
    <x v="1"/>
    <s v="Sunday"/>
    <x v="0"/>
    <n v="1"/>
    <n v="253.08"/>
    <n v="253.08"/>
    <x v="0"/>
    <x v="1"/>
  </r>
  <r>
    <s v="CUS-9175-KL"/>
    <x v="1"/>
    <x v="0"/>
    <x v="10"/>
    <d v="2023-04-21T00:00:00"/>
    <n v="554"/>
    <n v="2"/>
    <x v="2"/>
    <s v="Friday"/>
    <x v="2"/>
    <n v="2"/>
    <n v="132.55000000000001"/>
    <n v="265.10000000000002"/>
    <x v="0"/>
    <x v="1"/>
  </r>
  <r>
    <s v="CUS-3000-MN"/>
    <x v="2"/>
    <x v="0"/>
    <x v="0"/>
    <d v="2023-11-08T00:00:00"/>
    <n v="447"/>
    <n v="5"/>
    <x v="0"/>
    <s v="Wednesday"/>
    <x v="3"/>
    <n v="4"/>
    <n v="434.74"/>
    <n v="1738.96"/>
    <x v="1"/>
    <x v="1"/>
  </r>
  <r>
    <s v="CUS-6989-XY"/>
    <x v="4"/>
    <x v="0"/>
    <x v="11"/>
    <d v="2023-10-14T00:00:00"/>
    <n v="639"/>
    <n v="4"/>
    <x v="0"/>
    <s v="Saturday"/>
    <x v="1"/>
    <n v="4"/>
    <n v="447.15"/>
    <n v="1788.6"/>
    <x v="2"/>
    <x v="1"/>
  </r>
  <r>
    <s v="CUS-2460-MN"/>
    <x v="0"/>
    <x v="0"/>
    <x v="10"/>
    <d v="2023-04-02T00:00:00"/>
    <n v="871"/>
    <n v="8"/>
    <x v="1"/>
    <s v="Sunday"/>
    <x v="4"/>
    <n v="4"/>
    <n v="259.83999999999997"/>
    <n v="1039.3599999999999"/>
    <x v="1"/>
    <x v="1"/>
  </r>
  <r>
    <s v="CUS-8190-XY"/>
    <x v="2"/>
    <x v="0"/>
    <x v="5"/>
    <d v="2023-02-19T00:00:00"/>
    <n v="505"/>
    <n v="2"/>
    <x v="2"/>
    <s v="Sunday"/>
    <x v="1"/>
    <n v="3"/>
    <n v="84.06"/>
    <n v="252.18"/>
    <x v="1"/>
    <x v="1"/>
  </r>
  <r>
    <s v="CUS-8140-MN"/>
    <x v="0"/>
    <x v="0"/>
    <x v="0"/>
    <d v="2023-11-19T00:00:00"/>
    <n v="175"/>
    <n v="6"/>
    <x v="0"/>
    <s v="Sunday"/>
    <x v="1"/>
    <n v="1"/>
    <n v="224.52"/>
    <n v="224.52"/>
    <x v="1"/>
    <x v="1"/>
  </r>
  <r>
    <s v="CUS-4636-AB"/>
    <x v="1"/>
    <x v="0"/>
    <x v="4"/>
    <d v="2023-12-23T00:00:00"/>
    <n v="678"/>
    <n v="5"/>
    <x v="0"/>
    <s v="Saturday"/>
    <x v="0"/>
    <n v="1"/>
    <n v="411.59"/>
    <n v="411.59"/>
    <x v="3"/>
    <x v="1"/>
  </r>
  <r>
    <s v="CUS-5809-AB"/>
    <x v="4"/>
    <x v="0"/>
    <x v="2"/>
    <d v="2023-01-14T00:00:00"/>
    <n v="953"/>
    <n v="2"/>
    <x v="2"/>
    <s v="Saturday"/>
    <x v="1"/>
    <n v="2"/>
    <n v="455.8"/>
    <n v="911.6"/>
    <x v="2"/>
    <x v="1"/>
  </r>
  <r>
    <s v="CUS-5178-KL"/>
    <x v="3"/>
    <x v="0"/>
    <x v="7"/>
    <d v="2023-09-25T00:00:00"/>
    <n v="591"/>
    <n v="1"/>
    <x v="2"/>
    <s v="Monday"/>
    <x v="3"/>
    <n v="3"/>
    <n v="141.56"/>
    <n v="424.68"/>
    <x v="1"/>
    <x v="1"/>
  </r>
  <r>
    <s v="CUS-8245-KL"/>
    <x v="0"/>
    <x v="0"/>
    <x v="4"/>
    <d v="2023-12-06T00:00:00"/>
    <n v="293"/>
    <n v="8"/>
    <x v="1"/>
    <s v="Wednesday"/>
    <x v="0"/>
    <n v="2"/>
    <n v="80.14"/>
    <n v="160.28"/>
    <x v="1"/>
    <x v="1"/>
  </r>
  <r>
    <s v="CUS-7600-MN"/>
    <x v="2"/>
    <x v="0"/>
    <x v="0"/>
    <d v="2023-11-11T00:00:00"/>
    <n v="261"/>
    <n v="2"/>
    <x v="2"/>
    <s v="Saturday"/>
    <x v="2"/>
    <n v="1"/>
    <n v="444.81"/>
    <n v="444.81"/>
    <x v="1"/>
    <x v="1"/>
  </r>
  <r>
    <s v="CUS-6997-AB"/>
    <x v="2"/>
    <x v="0"/>
    <x v="4"/>
    <d v="2023-12-26T00:00:00"/>
    <n v="446"/>
    <n v="7"/>
    <x v="1"/>
    <s v="Tuesday"/>
    <x v="1"/>
    <n v="1"/>
    <n v="225.23"/>
    <n v="225.23"/>
    <x v="0"/>
    <x v="1"/>
  </r>
  <r>
    <s v="CUS-3048-XY"/>
    <x v="4"/>
    <x v="0"/>
    <x v="11"/>
    <d v="2023-10-14T00:00:00"/>
    <n v="460"/>
    <n v="9"/>
    <x v="1"/>
    <s v="Saturday"/>
    <x v="0"/>
    <n v="4"/>
    <n v="293.79000000000002"/>
    <n v="1175.1600000000001"/>
    <x v="1"/>
    <x v="1"/>
  </r>
  <r>
    <s v="CUS-5780-XY"/>
    <x v="1"/>
    <x v="0"/>
    <x v="6"/>
    <d v="2023-06-20T00:00:00"/>
    <n v="868"/>
    <n v="9"/>
    <x v="1"/>
    <s v="Tuesday"/>
    <x v="0"/>
    <n v="3"/>
    <n v="485.63"/>
    <n v="1456.89"/>
    <x v="0"/>
    <x v="1"/>
  </r>
  <r>
    <s v="CUS-1716-XY"/>
    <x v="3"/>
    <x v="0"/>
    <x v="1"/>
    <d v="2023-05-02T00:00:00"/>
    <n v="683"/>
    <n v="8"/>
    <x v="1"/>
    <s v="Tuesday"/>
    <x v="2"/>
    <n v="1"/>
    <n v="79.95"/>
    <n v="79.95"/>
    <x v="2"/>
    <x v="1"/>
  </r>
  <r>
    <s v="CUS-8939-XY"/>
    <x v="2"/>
    <x v="0"/>
    <x v="1"/>
    <d v="2023-05-07T00:00:00"/>
    <n v="186"/>
    <n v="9"/>
    <x v="1"/>
    <s v="Sunday"/>
    <x v="4"/>
    <n v="4"/>
    <n v="341.74"/>
    <n v="1366.96"/>
    <x v="1"/>
    <x v="1"/>
  </r>
  <r>
    <s v="CUS-6565-AB"/>
    <x v="0"/>
    <x v="0"/>
    <x v="7"/>
    <d v="2023-09-24T00:00:00"/>
    <n v="361"/>
    <n v="2"/>
    <x v="2"/>
    <s v="Sunday"/>
    <x v="3"/>
    <n v="3"/>
    <n v="83.35"/>
    <n v="250.05"/>
    <x v="2"/>
    <x v="1"/>
  </r>
  <r>
    <s v="CUS-5544-XY"/>
    <x v="4"/>
    <x v="0"/>
    <x v="11"/>
    <d v="2023-10-06T00:00:00"/>
    <n v="313"/>
    <n v="6"/>
    <x v="0"/>
    <s v="Friday"/>
    <x v="4"/>
    <n v="2"/>
    <n v="218.96"/>
    <n v="437.92"/>
    <x v="1"/>
    <x v="1"/>
  </r>
  <r>
    <s v="CUS-5976-AB"/>
    <x v="4"/>
    <x v="0"/>
    <x v="8"/>
    <d v="2023-03-19T00:00:00"/>
    <n v="764"/>
    <n v="4"/>
    <x v="0"/>
    <s v="Sunday"/>
    <x v="1"/>
    <n v="3"/>
    <n v="411.72"/>
    <n v="1235.1600000000001"/>
    <x v="3"/>
    <x v="1"/>
  </r>
  <r>
    <s v="CUS-4419-KL"/>
    <x v="1"/>
    <x v="0"/>
    <x v="0"/>
    <d v="2023-11-17T00:00:00"/>
    <n v="821"/>
    <n v="4"/>
    <x v="0"/>
    <s v="Friday"/>
    <x v="3"/>
    <n v="3"/>
    <n v="245.06"/>
    <n v="735.18"/>
    <x v="0"/>
    <x v="1"/>
  </r>
  <r>
    <s v="CUS-8239-KL"/>
    <x v="0"/>
    <x v="0"/>
    <x v="7"/>
    <d v="2023-09-23T00:00:00"/>
    <n v="672"/>
    <n v="5"/>
    <x v="0"/>
    <s v="Saturday"/>
    <x v="2"/>
    <n v="1"/>
    <n v="498.73"/>
    <n v="498.73"/>
    <x v="0"/>
    <x v="1"/>
  </r>
  <r>
    <s v="CUS-1249-AB"/>
    <x v="1"/>
    <x v="0"/>
    <x v="3"/>
    <d v="2023-07-28T00:00:00"/>
    <n v="879"/>
    <n v="3"/>
    <x v="0"/>
    <s v="Friday"/>
    <x v="4"/>
    <n v="1"/>
    <n v="301.58"/>
    <n v="301.58"/>
    <x v="0"/>
    <x v="1"/>
  </r>
  <r>
    <s v="CUS-9865-XY"/>
    <x v="0"/>
    <x v="0"/>
    <x v="6"/>
    <d v="2023-06-23T00:00:00"/>
    <n v="361"/>
    <n v="1"/>
    <x v="2"/>
    <s v="Friday"/>
    <x v="0"/>
    <n v="3"/>
    <n v="194.52"/>
    <n v="583.55999999999995"/>
    <x v="1"/>
    <x v="1"/>
  </r>
  <r>
    <s v="CUS-1770-MN"/>
    <x v="2"/>
    <x v="0"/>
    <x v="3"/>
    <d v="2023-07-26T00:00:00"/>
    <n v="829"/>
    <n v="8"/>
    <x v="1"/>
    <s v="Wednesday"/>
    <x v="0"/>
    <n v="1"/>
    <n v="149.05000000000001"/>
    <n v="149.05000000000001"/>
    <x v="1"/>
    <x v="1"/>
  </r>
  <r>
    <s v="CUS-5363-MN"/>
    <x v="2"/>
    <x v="0"/>
    <x v="8"/>
    <d v="2023-03-05T00:00:00"/>
    <n v="382"/>
    <n v="5"/>
    <x v="0"/>
    <s v="Sunday"/>
    <x v="2"/>
    <n v="1"/>
    <n v="207.73"/>
    <n v="207.73"/>
    <x v="2"/>
    <x v="1"/>
  </r>
  <r>
    <s v="CUS-2077-MN"/>
    <x v="3"/>
    <x v="0"/>
    <x v="8"/>
    <d v="2023-03-19T00:00:00"/>
    <n v="747"/>
    <n v="3"/>
    <x v="0"/>
    <s v="Sunday"/>
    <x v="0"/>
    <n v="1"/>
    <n v="217.64"/>
    <n v="217.64"/>
    <x v="0"/>
    <x v="1"/>
  </r>
  <r>
    <s v="CUS-9427-MN"/>
    <x v="3"/>
    <x v="0"/>
    <x v="5"/>
    <d v="2023-02-10T00:00:00"/>
    <n v="566"/>
    <n v="7"/>
    <x v="1"/>
    <s v="Friday"/>
    <x v="0"/>
    <n v="4"/>
    <n v="80.92"/>
    <n v="323.68"/>
    <x v="1"/>
    <x v="1"/>
  </r>
  <r>
    <s v="CUS-9580-MN"/>
    <x v="3"/>
    <x v="0"/>
    <x v="8"/>
    <d v="2023-03-05T00:00:00"/>
    <n v="479"/>
    <n v="7"/>
    <x v="1"/>
    <s v="Sunday"/>
    <x v="2"/>
    <n v="4"/>
    <n v="216.31"/>
    <n v="865.24"/>
    <x v="0"/>
    <x v="1"/>
  </r>
  <r>
    <s v="CUS-8901-XY"/>
    <x v="3"/>
    <x v="0"/>
    <x v="6"/>
    <d v="2023-06-16T00:00:00"/>
    <n v="461"/>
    <n v="1"/>
    <x v="2"/>
    <s v="Friday"/>
    <x v="0"/>
    <n v="3"/>
    <n v="258.91000000000003"/>
    <n v="776.73"/>
    <x v="2"/>
    <x v="1"/>
  </r>
  <r>
    <s v="CUS-5858-XY"/>
    <x v="1"/>
    <x v="0"/>
    <x v="3"/>
    <d v="2023-07-22T00:00:00"/>
    <n v="548"/>
    <n v="9"/>
    <x v="1"/>
    <s v="Saturday"/>
    <x v="4"/>
    <n v="1"/>
    <n v="375.23"/>
    <n v="375.23"/>
    <x v="0"/>
    <x v="1"/>
  </r>
  <r>
    <s v="CUS-7544-AB"/>
    <x v="0"/>
    <x v="0"/>
    <x v="2"/>
    <d v="2023-01-09T00:00:00"/>
    <n v="540"/>
    <n v="2"/>
    <x v="2"/>
    <s v="Monday"/>
    <x v="2"/>
    <n v="4"/>
    <n v="345.53"/>
    <n v="1382.12"/>
    <x v="0"/>
    <x v="1"/>
  </r>
  <r>
    <s v="CUS-5719-MN"/>
    <x v="0"/>
    <x v="0"/>
    <x v="11"/>
    <d v="2023-10-23T00:00:00"/>
    <n v="192"/>
    <n v="5"/>
    <x v="0"/>
    <s v="Monday"/>
    <x v="4"/>
    <n v="3"/>
    <n v="368.94"/>
    <n v="1106.82"/>
    <x v="1"/>
    <x v="1"/>
  </r>
  <r>
    <s v="CUS-3814-XY"/>
    <x v="1"/>
    <x v="0"/>
    <x v="10"/>
    <d v="2023-04-23T00:00:00"/>
    <n v="720"/>
    <n v="5"/>
    <x v="0"/>
    <s v="Sunday"/>
    <x v="4"/>
    <n v="1"/>
    <n v="53.76"/>
    <n v="53.76"/>
    <x v="3"/>
    <x v="1"/>
  </r>
  <r>
    <s v="CUS-4374-KL"/>
    <x v="0"/>
    <x v="0"/>
    <x v="4"/>
    <d v="2023-12-07T00:00:00"/>
    <n v="852"/>
    <n v="8"/>
    <x v="1"/>
    <s v="Thursday"/>
    <x v="4"/>
    <n v="2"/>
    <n v="147.94999999999999"/>
    <n v="295.89999999999998"/>
    <x v="0"/>
    <x v="1"/>
  </r>
  <r>
    <s v="CUS-2252-KL"/>
    <x v="2"/>
    <x v="0"/>
    <x v="4"/>
    <d v="2023-12-28T00:00:00"/>
    <n v="966"/>
    <n v="8"/>
    <x v="1"/>
    <s v="Thursday"/>
    <x v="3"/>
    <n v="1"/>
    <n v="347.76"/>
    <n v="347.76"/>
    <x v="2"/>
    <x v="1"/>
  </r>
  <r>
    <s v="CUS-7996-XY"/>
    <x v="1"/>
    <x v="0"/>
    <x v="8"/>
    <d v="2023-03-16T00:00:00"/>
    <n v="523"/>
    <n v="7"/>
    <x v="1"/>
    <s v="Thursday"/>
    <x v="0"/>
    <n v="1"/>
    <n v="267.8"/>
    <n v="267.8"/>
    <x v="0"/>
    <x v="1"/>
  </r>
  <r>
    <s v="CUS-5673-KL"/>
    <x v="1"/>
    <x v="0"/>
    <x v="6"/>
    <d v="2023-06-25T00:00:00"/>
    <n v="241"/>
    <n v="7"/>
    <x v="1"/>
    <s v="Sunday"/>
    <x v="0"/>
    <n v="4"/>
    <n v="52.39"/>
    <n v="209.56"/>
    <x v="3"/>
    <x v="1"/>
  </r>
  <r>
    <s v="CUS-5530-AB"/>
    <x v="3"/>
    <x v="0"/>
    <x v="2"/>
    <d v="2023-01-07T00:00:00"/>
    <n v="390"/>
    <n v="6"/>
    <x v="0"/>
    <s v="Saturday"/>
    <x v="4"/>
    <n v="3"/>
    <n v="412.02"/>
    <n v="1236.06"/>
    <x v="3"/>
    <x v="1"/>
  </r>
  <r>
    <s v="CUS-7881-KL"/>
    <x v="2"/>
    <x v="0"/>
    <x v="9"/>
    <d v="2023-08-13T00:00:00"/>
    <n v="531"/>
    <n v="6"/>
    <x v="0"/>
    <s v="Sunday"/>
    <x v="2"/>
    <n v="3"/>
    <n v="397.76"/>
    <n v="1193.28"/>
    <x v="1"/>
    <x v="1"/>
  </r>
  <r>
    <s v="CUS-7949-KL"/>
    <x v="2"/>
    <x v="0"/>
    <x v="9"/>
    <d v="2023-08-19T00:00:00"/>
    <n v="848"/>
    <n v="9"/>
    <x v="1"/>
    <s v="Saturday"/>
    <x v="1"/>
    <n v="4"/>
    <n v="296.79000000000002"/>
    <n v="1187.1600000000001"/>
    <x v="2"/>
    <x v="1"/>
  </r>
  <r>
    <s v="CUS-7241-MN"/>
    <x v="0"/>
    <x v="0"/>
    <x v="10"/>
    <d v="2023-04-07T00:00:00"/>
    <n v="951"/>
    <n v="6"/>
    <x v="0"/>
    <s v="Friday"/>
    <x v="0"/>
    <n v="1"/>
    <n v="79.91"/>
    <n v="79.91"/>
    <x v="0"/>
    <x v="1"/>
  </r>
  <r>
    <s v="CUS-9017-XY"/>
    <x v="3"/>
    <x v="0"/>
    <x v="3"/>
    <d v="2023-07-25T00:00:00"/>
    <n v="923"/>
    <n v="2"/>
    <x v="2"/>
    <s v="Tuesday"/>
    <x v="2"/>
    <n v="2"/>
    <n v="394.93"/>
    <n v="789.86"/>
    <x v="2"/>
    <x v="1"/>
  </r>
  <r>
    <s v="CUS-7941-AB"/>
    <x v="1"/>
    <x v="0"/>
    <x v="8"/>
    <d v="2023-03-26T00:00:00"/>
    <n v="788"/>
    <n v="2"/>
    <x v="2"/>
    <s v="Sunday"/>
    <x v="3"/>
    <n v="1"/>
    <n v="312.67"/>
    <n v="312.67"/>
    <x v="2"/>
    <x v="1"/>
  </r>
  <r>
    <s v="CUS-8002-KL"/>
    <x v="2"/>
    <x v="0"/>
    <x v="8"/>
    <d v="2023-03-05T00:00:00"/>
    <n v="752"/>
    <n v="5"/>
    <x v="0"/>
    <s v="Sunday"/>
    <x v="2"/>
    <n v="1"/>
    <n v="401.88"/>
    <n v="401.88"/>
    <x v="3"/>
    <x v="1"/>
  </r>
  <r>
    <s v="CUS-2331-MN"/>
    <x v="3"/>
    <x v="0"/>
    <x v="9"/>
    <d v="2023-08-30T00:00:00"/>
    <n v="800"/>
    <n v="4"/>
    <x v="0"/>
    <s v="Wednesday"/>
    <x v="0"/>
    <n v="2"/>
    <n v="388.29"/>
    <n v="776.58"/>
    <x v="0"/>
    <x v="1"/>
  </r>
  <r>
    <s v="CUS-5261-MN"/>
    <x v="4"/>
    <x v="0"/>
    <x v="1"/>
    <d v="2023-05-01T00:00:00"/>
    <n v="148"/>
    <n v="2"/>
    <x v="2"/>
    <s v="Monday"/>
    <x v="1"/>
    <n v="4"/>
    <n v="411.35"/>
    <n v="1645.4"/>
    <x v="3"/>
    <x v="1"/>
  </r>
  <r>
    <s v="CUS-8648-AB"/>
    <x v="3"/>
    <x v="0"/>
    <x v="9"/>
    <d v="2023-08-07T00:00:00"/>
    <n v="401"/>
    <n v="3"/>
    <x v="0"/>
    <s v="Monday"/>
    <x v="3"/>
    <n v="3"/>
    <n v="283.10000000000002"/>
    <n v="849.3"/>
    <x v="1"/>
    <x v="1"/>
  </r>
  <r>
    <s v="CUS-6115-AB"/>
    <x v="1"/>
    <x v="0"/>
    <x v="6"/>
    <d v="2023-06-15T00:00:00"/>
    <n v="980"/>
    <n v="7"/>
    <x v="1"/>
    <s v="Thursday"/>
    <x v="4"/>
    <n v="4"/>
    <n v="113.15"/>
    <n v="452.6"/>
    <x v="3"/>
    <x v="1"/>
  </r>
  <r>
    <s v="CUS-5637-AB"/>
    <x v="3"/>
    <x v="1"/>
    <x v="2"/>
    <d v="2024-01-03T00:00:00"/>
    <n v="289"/>
    <n v="8"/>
    <x v="1"/>
    <s v="Wednesday"/>
    <x v="4"/>
    <n v="4"/>
    <n v="352.02"/>
    <n v="1408.08"/>
    <x v="0"/>
    <x v="1"/>
  </r>
  <r>
    <s v="CUS-5854-XY"/>
    <x v="1"/>
    <x v="0"/>
    <x v="8"/>
    <d v="2023-03-02T00:00:00"/>
    <n v="235"/>
    <n v="6"/>
    <x v="0"/>
    <s v="Thursday"/>
    <x v="2"/>
    <n v="1"/>
    <n v="329.21"/>
    <n v="329.21"/>
    <x v="2"/>
    <x v="1"/>
  </r>
  <r>
    <s v="CUS-4177-AB"/>
    <x v="0"/>
    <x v="0"/>
    <x v="6"/>
    <d v="2023-06-24T00:00:00"/>
    <n v="654"/>
    <n v="5"/>
    <x v="0"/>
    <s v="Saturday"/>
    <x v="4"/>
    <n v="3"/>
    <n v="384.01"/>
    <n v="1152.03"/>
    <x v="2"/>
    <x v="1"/>
  </r>
  <r>
    <s v="CUS-8730-KL"/>
    <x v="1"/>
    <x v="0"/>
    <x v="7"/>
    <d v="2023-09-07T00:00:00"/>
    <n v="503"/>
    <n v="1"/>
    <x v="2"/>
    <s v="Thursday"/>
    <x v="2"/>
    <n v="3"/>
    <n v="126.45"/>
    <n v="379.35"/>
    <x v="2"/>
    <x v="1"/>
  </r>
  <r>
    <s v="CUS-3180-KL"/>
    <x v="0"/>
    <x v="0"/>
    <x v="6"/>
    <d v="2023-06-02T00:00:00"/>
    <n v="991"/>
    <n v="8"/>
    <x v="1"/>
    <s v="Friday"/>
    <x v="0"/>
    <n v="4"/>
    <n v="137.74"/>
    <n v="550.96"/>
    <x v="0"/>
    <x v="1"/>
  </r>
  <r>
    <s v="CUS-5892-KL"/>
    <x v="1"/>
    <x v="0"/>
    <x v="4"/>
    <d v="2023-12-25T00:00:00"/>
    <n v="964"/>
    <n v="3"/>
    <x v="0"/>
    <s v="Monday"/>
    <x v="1"/>
    <n v="2"/>
    <n v="450.68"/>
    <n v="901.36"/>
    <x v="2"/>
    <x v="1"/>
  </r>
  <r>
    <s v="CUS-8043-AB"/>
    <x v="4"/>
    <x v="0"/>
    <x v="7"/>
    <d v="2023-09-27T00:00:00"/>
    <n v="701"/>
    <n v="6"/>
    <x v="0"/>
    <s v="Wednesday"/>
    <x v="4"/>
    <n v="4"/>
    <n v="387.49"/>
    <n v="1549.96"/>
    <x v="2"/>
    <x v="1"/>
  </r>
  <r>
    <s v="CUS-1137-MN"/>
    <x v="4"/>
    <x v="0"/>
    <x v="9"/>
    <d v="2023-08-31T00:00:00"/>
    <n v="906"/>
    <n v="3"/>
    <x v="0"/>
    <s v="Thursday"/>
    <x v="1"/>
    <n v="2"/>
    <n v="458.7"/>
    <n v="917.4"/>
    <x v="2"/>
    <x v="1"/>
  </r>
  <r>
    <s v="CUS-7327-MN"/>
    <x v="4"/>
    <x v="0"/>
    <x v="11"/>
    <d v="2023-10-11T00:00:00"/>
    <n v="440"/>
    <n v="7"/>
    <x v="1"/>
    <s v="Wednesday"/>
    <x v="0"/>
    <n v="3"/>
    <n v="391.42"/>
    <n v="1174.26"/>
    <x v="1"/>
    <x v="1"/>
  </r>
  <r>
    <s v="CUS-4472-KL"/>
    <x v="3"/>
    <x v="0"/>
    <x v="4"/>
    <d v="2023-12-21T00:00:00"/>
    <n v="856"/>
    <n v="7"/>
    <x v="1"/>
    <s v="Thursday"/>
    <x v="3"/>
    <n v="4"/>
    <n v="318.72000000000003"/>
    <n v="1274.8800000000001"/>
    <x v="3"/>
    <x v="1"/>
  </r>
  <r>
    <s v="CUS-6449-KL"/>
    <x v="0"/>
    <x v="0"/>
    <x v="4"/>
    <d v="2023-12-07T00:00:00"/>
    <n v="803"/>
    <n v="9"/>
    <x v="1"/>
    <s v="Thursday"/>
    <x v="1"/>
    <n v="1"/>
    <n v="344.36"/>
    <n v="344.36"/>
    <x v="1"/>
    <x v="1"/>
  </r>
  <r>
    <s v="CUS-3832-XY"/>
    <x v="1"/>
    <x v="0"/>
    <x v="7"/>
    <d v="2023-09-27T00:00:00"/>
    <n v="417"/>
    <n v="5"/>
    <x v="0"/>
    <s v="Wednesday"/>
    <x v="0"/>
    <n v="4"/>
    <n v="450.11"/>
    <n v="1800.44"/>
    <x v="0"/>
    <x v="1"/>
  </r>
  <r>
    <s v="CUS-4579-AB"/>
    <x v="3"/>
    <x v="0"/>
    <x v="11"/>
    <d v="2023-10-09T00:00:00"/>
    <n v="717"/>
    <n v="8"/>
    <x v="1"/>
    <s v="Monday"/>
    <x v="4"/>
    <n v="3"/>
    <n v="310.45999999999998"/>
    <n v="931.38"/>
    <x v="0"/>
    <x v="1"/>
  </r>
  <r>
    <s v="CUS-6971-XY"/>
    <x v="4"/>
    <x v="0"/>
    <x v="8"/>
    <d v="2023-03-03T00:00:00"/>
    <n v="462"/>
    <n v="8"/>
    <x v="1"/>
    <s v="Friday"/>
    <x v="1"/>
    <n v="1"/>
    <n v="334.58"/>
    <n v="334.58"/>
    <x v="3"/>
    <x v="1"/>
  </r>
  <r>
    <s v="CUS-5164-MN"/>
    <x v="1"/>
    <x v="0"/>
    <x v="5"/>
    <d v="2023-02-08T00:00:00"/>
    <n v="921"/>
    <n v="1"/>
    <x v="2"/>
    <s v="Wednesday"/>
    <x v="1"/>
    <n v="1"/>
    <n v="120.41"/>
    <n v="120.41"/>
    <x v="2"/>
    <x v="1"/>
  </r>
  <r>
    <s v="CUS-8941-MN"/>
    <x v="4"/>
    <x v="0"/>
    <x v="9"/>
    <d v="2023-08-02T00:00:00"/>
    <n v="481"/>
    <n v="5"/>
    <x v="0"/>
    <s v="Wednesday"/>
    <x v="1"/>
    <n v="2"/>
    <n v="263.26"/>
    <n v="526.52"/>
    <x v="1"/>
    <x v="1"/>
  </r>
  <r>
    <s v="CUS-6569-XY"/>
    <x v="0"/>
    <x v="0"/>
    <x v="2"/>
    <d v="2023-01-10T00:00:00"/>
    <n v="332"/>
    <n v="3"/>
    <x v="0"/>
    <s v="Tuesday"/>
    <x v="1"/>
    <n v="1"/>
    <n v="372.38"/>
    <n v="372.38"/>
    <x v="1"/>
    <x v="1"/>
  </r>
  <r>
    <s v="CUS-5300-XY"/>
    <x v="4"/>
    <x v="0"/>
    <x v="6"/>
    <d v="2023-06-27T00:00:00"/>
    <n v="876"/>
    <n v="1"/>
    <x v="2"/>
    <s v="Tuesday"/>
    <x v="0"/>
    <n v="1"/>
    <n v="171.92"/>
    <n v="171.92"/>
    <x v="2"/>
    <x v="1"/>
  </r>
  <r>
    <s v="CUS-7269-AB"/>
    <x v="2"/>
    <x v="0"/>
    <x v="8"/>
    <d v="2023-03-22T00:00:00"/>
    <n v="443"/>
    <n v="4"/>
    <x v="0"/>
    <s v="Wednesday"/>
    <x v="1"/>
    <n v="4"/>
    <n v="141.01"/>
    <n v="564.04"/>
    <x v="1"/>
    <x v="1"/>
  </r>
  <r>
    <s v="CUS-4818-XY"/>
    <x v="1"/>
    <x v="0"/>
    <x v="1"/>
    <d v="2023-05-15T00:00:00"/>
    <n v="648"/>
    <n v="8"/>
    <x v="1"/>
    <s v="Monday"/>
    <x v="1"/>
    <n v="3"/>
    <n v="191.22"/>
    <n v="573.66"/>
    <x v="3"/>
    <x v="1"/>
  </r>
  <r>
    <s v="CUS-2906-KL"/>
    <x v="1"/>
    <x v="0"/>
    <x v="11"/>
    <d v="2023-10-14T00:00:00"/>
    <n v="916"/>
    <n v="3"/>
    <x v="0"/>
    <s v="Saturday"/>
    <x v="4"/>
    <n v="2"/>
    <n v="158.68"/>
    <n v="317.36"/>
    <x v="1"/>
    <x v="1"/>
  </r>
  <r>
    <s v="CUS-7254-XY"/>
    <x v="2"/>
    <x v="0"/>
    <x v="4"/>
    <d v="2023-12-12T00:00:00"/>
    <n v="652"/>
    <n v="2"/>
    <x v="2"/>
    <s v="Tuesday"/>
    <x v="1"/>
    <n v="4"/>
    <n v="146.71"/>
    <n v="586.84"/>
    <x v="2"/>
    <x v="1"/>
  </r>
  <r>
    <s v="CUS-1760-KL"/>
    <x v="0"/>
    <x v="0"/>
    <x v="5"/>
    <d v="2023-02-05T00:00:00"/>
    <n v="628"/>
    <n v="9"/>
    <x v="1"/>
    <s v="Sunday"/>
    <x v="2"/>
    <n v="1"/>
    <n v="241.18"/>
    <n v="241.18"/>
    <x v="0"/>
    <x v="1"/>
  </r>
  <r>
    <s v="CUS-8830-XY"/>
    <x v="0"/>
    <x v="0"/>
    <x v="3"/>
    <d v="2023-07-19T00:00:00"/>
    <n v="955"/>
    <n v="5"/>
    <x v="0"/>
    <s v="Wednesday"/>
    <x v="3"/>
    <n v="1"/>
    <n v="458.53"/>
    <n v="458.53"/>
    <x v="2"/>
    <x v="1"/>
  </r>
  <r>
    <s v="CUS-8350-MN"/>
    <x v="2"/>
    <x v="0"/>
    <x v="0"/>
    <d v="2023-11-26T00:00:00"/>
    <n v="888"/>
    <n v="7"/>
    <x v="1"/>
    <s v="Sunday"/>
    <x v="1"/>
    <n v="2"/>
    <n v="278.18"/>
    <n v="556.36"/>
    <x v="0"/>
    <x v="1"/>
  </r>
  <r>
    <s v="CUS-7238-AB"/>
    <x v="4"/>
    <x v="0"/>
    <x v="5"/>
    <d v="2023-02-02T00:00:00"/>
    <n v="918"/>
    <n v="2"/>
    <x v="2"/>
    <s v="Thursday"/>
    <x v="4"/>
    <n v="3"/>
    <n v="134.56"/>
    <n v="403.68"/>
    <x v="3"/>
    <x v="1"/>
  </r>
  <r>
    <s v="CUS-7090-XY"/>
    <x v="2"/>
    <x v="0"/>
    <x v="0"/>
    <d v="2023-11-06T00:00:00"/>
    <n v="670"/>
    <n v="9"/>
    <x v="1"/>
    <s v="Monday"/>
    <x v="3"/>
    <n v="2"/>
    <n v="84.64"/>
    <n v="169.28"/>
    <x v="2"/>
    <x v="1"/>
  </r>
  <r>
    <s v="CUS-7031-AB"/>
    <x v="0"/>
    <x v="0"/>
    <x v="1"/>
    <d v="2023-05-20T00:00:00"/>
    <n v="282"/>
    <n v="9"/>
    <x v="1"/>
    <s v="Saturday"/>
    <x v="1"/>
    <n v="4"/>
    <n v="363.27"/>
    <n v="1453.08"/>
    <x v="3"/>
    <x v="1"/>
  </r>
  <r>
    <s v="CUS-8687-AB"/>
    <x v="4"/>
    <x v="0"/>
    <x v="1"/>
    <d v="2023-05-02T00:00:00"/>
    <n v="140"/>
    <n v="4"/>
    <x v="0"/>
    <s v="Tuesday"/>
    <x v="2"/>
    <n v="2"/>
    <n v="222.26"/>
    <n v="444.52"/>
    <x v="0"/>
    <x v="1"/>
  </r>
  <r>
    <s v="CUS-9472-KL"/>
    <x v="1"/>
    <x v="0"/>
    <x v="4"/>
    <d v="2023-12-27T00:00:00"/>
    <n v="650"/>
    <n v="4"/>
    <x v="0"/>
    <s v="Wednesday"/>
    <x v="0"/>
    <n v="1"/>
    <n v="419.82"/>
    <n v="419.82"/>
    <x v="1"/>
    <x v="1"/>
  </r>
  <r>
    <s v="CUS-2887-XY"/>
    <x v="2"/>
    <x v="0"/>
    <x v="8"/>
    <d v="2023-03-21T00:00:00"/>
    <n v="496"/>
    <n v="6"/>
    <x v="0"/>
    <s v="Tuesday"/>
    <x v="3"/>
    <n v="4"/>
    <n v="346.78"/>
    <n v="1387.12"/>
    <x v="2"/>
    <x v="1"/>
  </r>
  <r>
    <s v="CUS-4266-KL"/>
    <x v="0"/>
    <x v="0"/>
    <x v="7"/>
    <d v="2023-09-17T00:00:00"/>
    <n v="803"/>
    <n v="6"/>
    <x v="0"/>
    <s v="Sunday"/>
    <x v="1"/>
    <n v="1"/>
    <n v="408.31"/>
    <n v="408.31"/>
    <x v="0"/>
    <x v="1"/>
  </r>
  <r>
    <s v="CUS-1666-MN"/>
    <x v="3"/>
    <x v="0"/>
    <x v="11"/>
    <d v="2023-10-28T00:00:00"/>
    <n v="878"/>
    <n v="1"/>
    <x v="2"/>
    <s v="Saturday"/>
    <x v="0"/>
    <n v="3"/>
    <n v="172.38"/>
    <n v="517.14"/>
    <x v="0"/>
    <x v="1"/>
  </r>
  <r>
    <s v="CUS-5188-AB"/>
    <x v="0"/>
    <x v="0"/>
    <x v="2"/>
    <d v="2023-01-25T00:00:00"/>
    <n v="593"/>
    <n v="9"/>
    <x v="1"/>
    <s v="Wednesday"/>
    <x v="4"/>
    <n v="1"/>
    <n v="361.56"/>
    <n v="361.56"/>
    <x v="1"/>
    <x v="1"/>
  </r>
  <r>
    <s v="CUS-1671-KL"/>
    <x v="4"/>
    <x v="0"/>
    <x v="7"/>
    <d v="2023-09-04T00:00:00"/>
    <n v="758"/>
    <n v="2"/>
    <x v="2"/>
    <s v="Monday"/>
    <x v="1"/>
    <n v="1"/>
    <n v="168.83"/>
    <n v="168.83"/>
    <x v="2"/>
    <x v="1"/>
  </r>
  <r>
    <s v="CUS-7777-KL"/>
    <x v="4"/>
    <x v="0"/>
    <x v="4"/>
    <d v="2023-12-19T00:00:00"/>
    <n v="432"/>
    <n v="5"/>
    <x v="0"/>
    <s v="Tuesday"/>
    <x v="1"/>
    <n v="2"/>
    <n v="472.58"/>
    <n v="945.16"/>
    <x v="1"/>
    <x v="1"/>
  </r>
  <r>
    <s v="CUS-8570-AB"/>
    <x v="2"/>
    <x v="0"/>
    <x v="5"/>
    <d v="2023-02-24T00:00:00"/>
    <n v="226"/>
    <n v="9"/>
    <x v="1"/>
    <s v="Friday"/>
    <x v="1"/>
    <n v="1"/>
    <n v="336.37"/>
    <n v="336.37"/>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4140C4-6A89-477E-A011-70E53781440F}"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C20:D32" firstHeaderRow="1" firstDataRow="1" firstDataCol="1"/>
  <pivotFields count="15">
    <pivotField showAll="0"/>
    <pivotField showAll="0">
      <items count="6">
        <item x="2"/>
        <item x="0"/>
        <item x="4"/>
        <item x="1"/>
        <item x="3"/>
        <item t="default"/>
      </items>
    </pivotField>
    <pivotField numFmtId="165" showAll="0">
      <items count="3">
        <item x="0"/>
        <item x="1"/>
        <item t="default"/>
      </items>
    </pivotField>
    <pivotField axis="axisRow" showAll="0">
      <items count="13">
        <item x="2"/>
        <item x="5"/>
        <item x="8"/>
        <item x="10"/>
        <item x="1"/>
        <item x="6"/>
        <item x="3"/>
        <item x="9"/>
        <item x="7"/>
        <item x="11"/>
        <item x="0"/>
        <item x="4"/>
        <item t="default"/>
      </items>
    </pivotField>
    <pivotField numFmtId="164" showAll="0"/>
    <pivotField showAll="0"/>
    <pivotField showAll="0"/>
    <pivotField showAll="0">
      <items count="4">
        <item x="2"/>
        <item x="1"/>
        <item x="0"/>
        <item t="default"/>
      </items>
    </pivotField>
    <pivotField showAll="0"/>
    <pivotField showAll="0">
      <items count="6">
        <item x="3"/>
        <item x="1"/>
        <item x="0"/>
        <item x="4"/>
        <item x="2"/>
        <item t="default"/>
      </items>
    </pivotField>
    <pivotField dataField="1" showAll="0"/>
    <pivotField showAll="0"/>
    <pivotField showAll="0"/>
    <pivotField showAll="0"/>
    <pivotField showAll="0">
      <items count="3">
        <item x="1"/>
        <item x="0"/>
        <item t="default"/>
      </items>
    </pivotField>
  </pivotFields>
  <rowFields count="1">
    <field x="3"/>
  </rowFields>
  <rowItems count="12">
    <i>
      <x/>
    </i>
    <i>
      <x v="1"/>
    </i>
    <i>
      <x v="2"/>
    </i>
    <i>
      <x v="3"/>
    </i>
    <i>
      <x v="4"/>
    </i>
    <i>
      <x v="5"/>
    </i>
    <i>
      <x v="6"/>
    </i>
    <i>
      <x v="7"/>
    </i>
    <i>
      <x v="8"/>
    </i>
    <i>
      <x v="9"/>
    </i>
    <i>
      <x v="10"/>
    </i>
    <i>
      <x v="11"/>
    </i>
  </rowItems>
  <colItems count="1">
    <i/>
  </colItems>
  <dataFields count="1">
    <dataField name="Sum of Quantity" fld="10"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69F153-50CF-4640-A2D3-AD7FFD85A2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showAll="0"/>
    <pivotField numFmtId="165" showAll="0">
      <items count="3">
        <item x="0"/>
        <item x="1"/>
        <item t="default"/>
      </items>
    </pivotField>
    <pivotField showAll="0"/>
    <pivotField numFmtId="164"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1"/>
        <item x="0"/>
        <item t="default"/>
      </items>
    </pivotField>
  </pivotFields>
  <rowItems count="1">
    <i/>
  </rowItems>
  <colItems count="1">
    <i/>
  </colItems>
  <dataFields count="1">
    <dataField name="Sum of TotalPrice" fld="12" baseField="0" baseItem="0" numFmtId="167"/>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761F1-3FA6-4824-A3A3-B334362FA7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numFmtId="165" showAll="0">
      <items count="3">
        <item x="0"/>
        <item x="1"/>
        <item t="default"/>
      </items>
    </pivotField>
    <pivotField showAll="0"/>
    <pivotField numFmtId="164"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s>
  <rowItems count="1">
    <i/>
  </rowItems>
  <colItems count="1">
    <i/>
  </colItems>
  <dataFields count="1">
    <dataField name="Average of SalesValue" fld="5"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6DCF42-A5FD-47F8-B7AD-B65EC967C0EB}"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J8:K13" firstHeaderRow="1" firstDataRow="1" firstDataCol="1"/>
  <pivotFields count="15">
    <pivotField showAll="0"/>
    <pivotField showAll="0">
      <items count="6">
        <item x="2"/>
        <item x="0"/>
        <item x="4"/>
        <item x="1"/>
        <item x="3"/>
        <item t="default"/>
      </items>
    </pivotField>
    <pivotField numFmtId="165" showAll="0">
      <items count="3">
        <item x="0"/>
        <item x="1"/>
        <item t="default"/>
      </items>
    </pivotField>
    <pivotField showAll="0">
      <items count="13">
        <item x="2"/>
        <item x="5"/>
        <item x="8"/>
        <item x="10"/>
        <item x="1"/>
        <item x="6"/>
        <item x="3"/>
        <item x="9"/>
        <item x="7"/>
        <item x="11"/>
        <item x="0"/>
        <item x="4"/>
        <item t="default"/>
      </items>
    </pivotField>
    <pivotField numFmtId="164" showAll="0"/>
    <pivotField showAll="0"/>
    <pivotField showAll="0"/>
    <pivotField showAll="0">
      <items count="4">
        <item x="2"/>
        <item x="1"/>
        <item x="0"/>
        <item t="default"/>
      </items>
    </pivotField>
    <pivotField showAll="0"/>
    <pivotField axis="axisRow" showAll="0">
      <items count="6">
        <item x="3"/>
        <item x="1"/>
        <item x="0"/>
        <item x="4"/>
        <item x="2"/>
        <item t="default"/>
      </items>
    </pivotField>
    <pivotField dataField="1" showAll="0"/>
    <pivotField showAll="0"/>
    <pivotField showAll="0"/>
    <pivotField showAll="0"/>
    <pivotField showAll="0">
      <items count="3">
        <item x="1"/>
        <item x="0"/>
        <item t="default"/>
      </items>
    </pivotField>
  </pivotFields>
  <rowFields count="1">
    <field x="9"/>
  </rowFields>
  <rowItems count="5">
    <i>
      <x/>
    </i>
    <i>
      <x v="1"/>
    </i>
    <i>
      <x v="2"/>
    </i>
    <i>
      <x v="3"/>
    </i>
    <i>
      <x v="4"/>
    </i>
  </rowItems>
  <colItems count="1">
    <i/>
  </colItems>
  <dataFields count="1">
    <dataField name="Sum of Quantity" fld="10" baseField="0" baseItem="0"/>
  </dataFields>
  <chartFormats count="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4"/>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501A9E-1F9D-4E65-8202-C9007F2483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dataField="1" showAll="0"/>
    <pivotField showAll="0"/>
    <pivotField numFmtId="165" showAll="0">
      <items count="3">
        <item x="0"/>
        <item x="1"/>
        <item t="default"/>
      </items>
    </pivotField>
    <pivotField showAll="0"/>
    <pivotField numFmtId="164"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DA8B2F-EF12-4D5C-8BA6-525B65FE31B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F8:G20" firstHeaderRow="1" firstDataRow="1" firstDataCol="1"/>
  <pivotFields count="15">
    <pivotField showAll="0"/>
    <pivotField showAll="0">
      <items count="6">
        <item x="2"/>
        <item x="0"/>
        <item x="4"/>
        <item x="1"/>
        <item x="3"/>
        <item t="default"/>
      </items>
    </pivotField>
    <pivotField numFmtId="165" showAll="0">
      <items count="3">
        <item x="0"/>
        <item x="1"/>
        <item t="default"/>
      </items>
    </pivotField>
    <pivotField axis="axisRow" showAll="0">
      <items count="13">
        <item x="2"/>
        <item x="5"/>
        <item x="8"/>
        <item x="10"/>
        <item x="1"/>
        <item x="6"/>
        <item x="3"/>
        <item x="9"/>
        <item x="7"/>
        <item x="11"/>
        <item x="0"/>
        <item x="4"/>
        <item t="default"/>
      </items>
    </pivotField>
    <pivotField numFmtId="164"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1"/>
        <item x="0"/>
        <item t="default"/>
      </items>
    </pivotField>
  </pivotFields>
  <rowFields count="1">
    <field x="3"/>
  </rowFields>
  <rowItems count="12">
    <i>
      <x/>
    </i>
    <i>
      <x v="1"/>
    </i>
    <i>
      <x v="2"/>
    </i>
    <i>
      <x v="3"/>
    </i>
    <i>
      <x v="4"/>
    </i>
    <i>
      <x v="5"/>
    </i>
    <i>
      <x v="6"/>
    </i>
    <i>
      <x v="7"/>
    </i>
    <i>
      <x v="8"/>
    </i>
    <i>
      <x v="9"/>
    </i>
    <i>
      <x v="10"/>
    </i>
    <i>
      <x v="11"/>
    </i>
  </rowItems>
  <colItems count="1">
    <i/>
  </colItems>
  <dataFields count="1">
    <dataField name="Sum of TotalPrice" fld="12" baseField="0" baseItem="0" numFmtId="167"/>
  </dataFields>
  <formats count="1">
    <format dxfId="14">
      <pivotArea outline="0" collapsedLevelsAreSubtotals="1" fieldPosition="0"/>
    </format>
  </formats>
  <chartFormats count="24">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1"/>
          </reference>
        </references>
      </pivotArea>
    </chartFormat>
    <chartFormat chart="3" format="18">
      <pivotArea type="data" outline="0" fieldPosition="0">
        <references count="2">
          <reference field="4294967294" count="1" selected="0">
            <x v="0"/>
          </reference>
          <reference field="3" count="1" selected="0">
            <x v="2"/>
          </reference>
        </references>
      </pivotArea>
    </chartFormat>
    <chartFormat chart="3" format="19">
      <pivotArea type="data" outline="0" fieldPosition="0">
        <references count="2">
          <reference field="4294967294" count="1" selected="0">
            <x v="0"/>
          </reference>
          <reference field="3" count="1" selected="0">
            <x v="3"/>
          </reference>
        </references>
      </pivotArea>
    </chartFormat>
    <chartFormat chart="3" format="20">
      <pivotArea type="data" outline="0" fieldPosition="0">
        <references count="2">
          <reference field="4294967294" count="1" selected="0">
            <x v="0"/>
          </reference>
          <reference field="3" count="1" selected="0">
            <x v="4"/>
          </reference>
        </references>
      </pivotArea>
    </chartFormat>
    <chartFormat chart="3" format="21">
      <pivotArea type="data" outline="0" fieldPosition="0">
        <references count="2">
          <reference field="4294967294" count="1" selected="0">
            <x v="0"/>
          </reference>
          <reference field="3" count="1" selected="0">
            <x v="6"/>
          </reference>
        </references>
      </pivotArea>
    </chartFormat>
    <chartFormat chart="3" format="22">
      <pivotArea type="data" outline="0" fieldPosition="0">
        <references count="2">
          <reference field="4294967294" count="1" selected="0">
            <x v="0"/>
          </reference>
          <reference field="3" count="1" selected="0">
            <x v="9"/>
          </reference>
        </references>
      </pivotArea>
    </chartFormat>
    <chartFormat chart="3" format="23">
      <pivotArea type="data" outline="0" fieldPosition="0">
        <references count="2">
          <reference field="4294967294" count="1" selected="0">
            <x v="0"/>
          </reference>
          <reference field="3" count="1" selected="0">
            <x v="11"/>
          </reference>
        </references>
      </pivotArea>
    </chartFormat>
    <chartFormat chart="3" format="24">
      <pivotArea type="data" outline="0" fieldPosition="0">
        <references count="2">
          <reference field="4294967294" count="1" selected="0">
            <x v="0"/>
          </reference>
          <reference field="3" count="1" selected="0">
            <x v="10"/>
          </reference>
        </references>
      </pivotArea>
    </chartFormat>
    <chartFormat chart="3" format="25">
      <pivotArea type="data" outline="0" fieldPosition="0">
        <references count="2">
          <reference field="4294967294" count="1" selected="0">
            <x v="0"/>
          </reference>
          <reference field="3" count="1" selected="0">
            <x v="5"/>
          </reference>
        </references>
      </pivotArea>
    </chartFormat>
    <chartFormat chart="3" format="26">
      <pivotArea type="data" outline="0" fieldPosition="0">
        <references count="2">
          <reference field="4294967294" count="1" selected="0">
            <x v="0"/>
          </reference>
          <reference field="3" count="1" selected="0">
            <x v="7"/>
          </reference>
        </references>
      </pivotArea>
    </chartFormat>
    <chartFormat chart="3" format="27">
      <pivotArea type="data" outline="0" fieldPosition="0">
        <references count="2">
          <reference field="4294967294" count="1" selected="0">
            <x v="0"/>
          </reference>
          <reference field="3" count="1" selected="0">
            <x v="8"/>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3" count="1" selected="0">
            <x v="1"/>
          </reference>
        </references>
      </pivotArea>
    </chartFormat>
    <chartFormat chart="5" format="42">
      <pivotArea type="data" outline="0" fieldPosition="0">
        <references count="2">
          <reference field="4294967294" count="1" selected="0">
            <x v="0"/>
          </reference>
          <reference field="3" count="1" selected="0">
            <x v="2"/>
          </reference>
        </references>
      </pivotArea>
    </chartFormat>
    <chartFormat chart="5" format="43">
      <pivotArea type="data" outline="0" fieldPosition="0">
        <references count="2">
          <reference field="4294967294" count="1" selected="0">
            <x v="0"/>
          </reference>
          <reference field="3" count="1" selected="0">
            <x v="3"/>
          </reference>
        </references>
      </pivotArea>
    </chartFormat>
    <chartFormat chart="5" format="44">
      <pivotArea type="data" outline="0" fieldPosition="0">
        <references count="2">
          <reference field="4294967294" count="1" selected="0">
            <x v="0"/>
          </reference>
          <reference field="3" count="1" selected="0">
            <x v="4"/>
          </reference>
        </references>
      </pivotArea>
    </chartFormat>
    <chartFormat chart="5" format="45">
      <pivotArea type="data" outline="0" fieldPosition="0">
        <references count="2">
          <reference field="4294967294" count="1" selected="0">
            <x v="0"/>
          </reference>
          <reference field="3" count="1" selected="0">
            <x v="5"/>
          </reference>
        </references>
      </pivotArea>
    </chartFormat>
    <chartFormat chart="5" format="46">
      <pivotArea type="data" outline="0" fieldPosition="0">
        <references count="2">
          <reference field="4294967294" count="1" selected="0">
            <x v="0"/>
          </reference>
          <reference field="3" count="1" selected="0">
            <x v="6"/>
          </reference>
        </references>
      </pivotArea>
    </chartFormat>
    <chartFormat chart="5" format="47">
      <pivotArea type="data" outline="0" fieldPosition="0">
        <references count="2">
          <reference field="4294967294" count="1" selected="0">
            <x v="0"/>
          </reference>
          <reference field="3" count="1" selected="0">
            <x v="7"/>
          </reference>
        </references>
      </pivotArea>
    </chartFormat>
    <chartFormat chart="5" format="48">
      <pivotArea type="data" outline="0" fieldPosition="0">
        <references count="2">
          <reference field="4294967294" count="1" selected="0">
            <x v="0"/>
          </reference>
          <reference field="3" count="1" selected="0">
            <x v="8"/>
          </reference>
        </references>
      </pivotArea>
    </chartFormat>
    <chartFormat chart="5" format="49">
      <pivotArea type="data" outline="0" fieldPosition="0">
        <references count="2">
          <reference field="4294967294" count="1" selected="0">
            <x v="0"/>
          </reference>
          <reference field="3" count="1" selected="0">
            <x v="9"/>
          </reference>
        </references>
      </pivotArea>
    </chartFormat>
    <chartFormat chart="5" format="50">
      <pivotArea type="data" outline="0" fieldPosition="0">
        <references count="2">
          <reference field="4294967294" count="1" selected="0">
            <x v="0"/>
          </reference>
          <reference field="3" count="1" selected="0">
            <x v="10"/>
          </reference>
        </references>
      </pivotArea>
    </chartFormat>
    <chartFormat chart="5" format="51">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297594-1D52-4518-B43A-C1F93090276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C8:D13" firstHeaderRow="1" firstDataRow="1" firstDataCol="1"/>
  <pivotFields count="15">
    <pivotField showAll="0"/>
    <pivotField axis="axisRow" showAll="0">
      <items count="6">
        <item x="2"/>
        <item x="0"/>
        <item x="4"/>
        <item x="1"/>
        <item x="3"/>
        <item t="default"/>
      </items>
    </pivotField>
    <pivotField numFmtId="165" showAll="0">
      <items count="3">
        <item x="0"/>
        <item x="1"/>
        <item t="default"/>
      </items>
    </pivotField>
    <pivotField showAll="0"/>
    <pivotField numFmtId="164"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1"/>
        <item x="0"/>
        <item t="default"/>
      </items>
    </pivotField>
  </pivotFields>
  <rowFields count="1">
    <field x="1"/>
  </rowFields>
  <rowItems count="5">
    <i>
      <x/>
    </i>
    <i>
      <x v="1"/>
    </i>
    <i>
      <x v="2"/>
    </i>
    <i>
      <x v="3"/>
    </i>
    <i>
      <x v="4"/>
    </i>
  </rowItems>
  <colItems count="1">
    <i/>
  </colItems>
  <dataFields count="1">
    <dataField name="Sum of TotalPrice" fld="12" baseField="0" baseItem="0" numFmtId="167"/>
  </dataFields>
  <formats count="1">
    <format dxfId="15">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6AFE2D-54A3-4E7C-85D8-B03359ABC5F1}"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J23:K27" firstHeaderRow="1" firstDataRow="1" firstDataCol="1"/>
  <pivotFields count="15">
    <pivotField showAll="0"/>
    <pivotField showAll="0">
      <items count="6">
        <item x="2"/>
        <item x="0"/>
        <item x="4"/>
        <item x="1"/>
        <item x="3"/>
        <item t="default"/>
      </items>
    </pivotField>
    <pivotField numFmtId="165" showAll="0">
      <items count="3">
        <item x="0"/>
        <item x="1"/>
        <item t="default"/>
      </items>
    </pivotField>
    <pivotField showAll="0">
      <items count="13">
        <item x="2"/>
        <item x="5"/>
        <item x="8"/>
        <item x="10"/>
        <item x="1"/>
        <item x="6"/>
        <item x="3"/>
        <item x="9"/>
        <item x="7"/>
        <item x="11"/>
        <item x="0"/>
        <item x="4"/>
        <item t="default"/>
      </items>
    </pivotField>
    <pivotField numFmtId="164" showAll="0"/>
    <pivotField showAll="0"/>
    <pivotField showAll="0"/>
    <pivotField showAll="0">
      <items count="4">
        <item x="2"/>
        <item x="1"/>
        <item x="0"/>
        <item t="default"/>
      </items>
    </pivotField>
    <pivotField showAll="0"/>
    <pivotField showAll="0">
      <items count="6">
        <item x="3"/>
        <item x="1"/>
        <item x="0"/>
        <item x="4"/>
        <item x="2"/>
        <item t="default"/>
      </items>
    </pivotField>
    <pivotField showAll="0"/>
    <pivotField showAll="0"/>
    <pivotField dataField="1" showAll="0"/>
    <pivotField axis="axisRow" showAll="0">
      <items count="5">
        <item x="3"/>
        <item x="0"/>
        <item x="2"/>
        <item x="1"/>
        <item t="default"/>
      </items>
    </pivotField>
    <pivotField showAll="0">
      <items count="3">
        <item x="1"/>
        <item x="0"/>
        <item t="default"/>
      </items>
    </pivotField>
  </pivotFields>
  <rowFields count="1">
    <field x="13"/>
  </rowFields>
  <rowItems count="4">
    <i>
      <x/>
    </i>
    <i>
      <x v="1"/>
    </i>
    <i>
      <x v="2"/>
    </i>
    <i>
      <x v="3"/>
    </i>
  </rowItems>
  <colItems count="1">
    <i/>
  </colItems>
  <dataFields count="1">
    <dataField name="Sum of TotalPrice" fld="12"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0"/>
          </reference>
        </references>
      </pivotArea>
    </chartFormat>
    <chartFormat chart="5" format="12">
      <pivotArea type="data" outline="0" fieldPosition="0">
        <references count="2">
          <reference field="4294967294" count="1" selected="0">
            <x v="0"/>
          </reference>
          <reference field="13" count="1" selected="0">
            <x v="1"/>
          </reference>
        </references>
      </pivotArea>
    </chartFormat>
    <chartFormat chart="5" format="13">
      <pivotArea type="data" outline="0" fieldPosition="0">
        <references count="2">
          <reference field="4294967294" count="1" selected="0">
            <x v="0"/>
          </reference>
          <reference field="13" count="1" selected="0">
            <x v="2"/>
          </reference>
        </references>
      </pivotArea>
    </chartFormat>
    <chartFormat chart="5" format="14">
      <pivotArea type="data" outline="0" fieldPosition="0">
        <references count="2">
          <reference field="4294967294" count="1" selected="0">
            <x v="0"/>
          </reference>
          <reference field="13" count="1" selected="0">
            <x v="3"/>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13" count="1" selected="0">
            <x v="0"/>
          </reference>
        </references>
      </pivotArea>
    </chartFormat>
    <chartFormat chart="7" format="22">
      <pivotArea type="data" outline="0" fieldPosition="0">
        <references count="2">
          <reference field="4294967294" count="1" selected="0">
            <x v="0"/>
          </reference>
          <reference field="13" count="1" selected="0">
            <x v="1"/>
          </reference>
        </references>
      </pivotArea>
    </chartFormat>
    <chartFormat chart="7" format="23">
      <pivotArea type="data" outline="0" fieldPosition="0">
        <references count="2">
          <reference field="4294967294" count="1" selected="0">
            <x v="0"/>
          </reference>
          <reference field="13" count="1" selected="0">
            <x v="2"/>
          </reference>
        </references>
      </pivotArea>
    </chartFormat>
    <chartFormat chart="7" format="2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AA68DF-350D-427E-8BAB-15E2B8320B2F}"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F23:G28" firstHeaderRow="1" firstDataRow="1" firstDataCol="1"/>
  <pivotFields count="15">
    <pivotField showAll="0"/>
    <pivotField showAll="0">
      <items count="6">
        <item x="2"/>
        <item x="0"/>
        <item x="4"/>
        <item x="1"/>
        <item x="3"/>
        <item t="default"/>
      </items>
    </pivotField>
    <pivotField numFmtId="165" showAll="0">
      <items count="3">
        <item x="0"/>
        <item x="1"/>
        <item t="default"/>
      </items>
    </pivotField>
    <pivotField showAll="0">
      <items count="13">
        <item x="2"/>
        <item x="5"/>
        <item x="8"/>
        <item x="10"/>
        <item x="1"/>
        <item x="6"/>
        <item x="3"/>
        <item x="9"/>
        <item x="7"/>
        <item x="11"/>
        <item x="0"/>
        <item x="4"/>
        <item t="default"/>
      </items>
    </pivotField>
    <pivotField numFmtId="164" showAll="0"/>
    <pivotField showAll="0"/>
    <pivotField showAll="0"/>
    <pivotField showAll="0">
      <items count="4">
        <item x="2"/>
        <item x="1"/>
        <item x="0"/>
        <item t="default"/>
      </items>
    </pivotField>
    <pivotField showAll="0"/>
    <pivotField axis="axisRow" showAll="0">
      <items count="6">
        <item x="3"/>
        <item x="1"/>
        <item x="0"/>
        <item x="4"/>
        <item x="2"/>
        <item t="default"/>
      </items>
    </pivotField>
    <pivotField showAll="0"/>
    <pivotField showAll="0"/>
    <pivotField dataField="1" showAll="0"/>
    <pivotField showAll="0"/>
    <pivotField showAll="0">
      <items count="3">
        <item x="1"/>
        <item x="0"/>
        <item t="default"/>
      </items>
    </pivotField>
  </pivotFields>
  <rowFields count="1">
    <field x="9"/>
  </rowFields>
  <rowItems count="5">
    <i>
      <x/>
    </i>
    <i>
      <x v="1"/>
    </i>
    <i>
      <x v="2"/>
    </i>
    <i>
      <x v="3"/>
    </i>
    <i>
      <x v="4"/>
    </i>
  </rowItems>
  <colItems count="1">
    <i/>
  </colItems>
  <dataFields count="1">
    <dataField name="Sum of TotalPrice" fld="12" showDataAs="percentOfTotal" baseField="0" baseItem="0" numFmtId="10"/>
  </dataFields>
  <chartFormats count="12">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 chart="4" format="15">
      <pivotArea type="data" outline="0" fieldPosition="0">
        <references count="2">
          <reference field="4294967294" count="1" selected="0">
            <x v="0"/>
          </reference>
          <reference field="9" count="1" selected="0">
            <x v="2"/>
          </reference>
        </references>
      </pivotArea>
    </chartFormat>
    <chartFormat chart="4" format="16">
      <pivotArea type="data" outline="0" fieldPosition="0">
        <references count="2">
          <reference field="4294967294" count="1" selected="0">
            <x v="0"/>
          </reference>
          <reference field="9" count="1" selected="0">
            <x v="3"/>
          </reference>
        </references>
      </pivotArea>
    </chartFormat>
    <chartFormat chart="4" format="17">
      <pivotArea type="data" outline="0" fieldPosition="0">
        <references count="2">
          <reference field="4294967294" count="1" selected="0">
            <x v="0"/>
          </reference>
          <reference field="9" count="1" selected="0">
            <x v="4"/>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9" count="1" selected="0">
            <x v="0"/>
          </reference>
        </references>
      </pivotArea>
    </chartFormat>
    <chartFormat chart="6" format="26">
      <pivotArea type="data" outline="0" fieldPosition="0">
        <references count="2">
          <reference field="4294967294" count="1" selected="0">
            <x v="0"/>
          </reference>
          <reference field="9" count="1" selected="0">
            <x v="1"/>
          </reference>
        </references>
      </pivotArea>
    </chartFormat>
    <chartFormat chart="6" format="27">
      <pivotArea type="data" outline="0" fieldPosition="0">
        <references count="2">
          <reference field="4294967294" count="1" selected="0">
            <x v="0"/>
          </reference>
          <reference field="9" count="1" selected="0">
            <x v="2"/>
          </reference>
        </references>
      </pivotArea>
    </chartFormat>
    <chartFormat chart="6" format="28">
      <pivotArea type="data" outline="0" fieldPosition="0">
        <references count="2">
          <reference field="4294967294" count="1" selected="0">
            <x v="0"/>
          </reference>
          <reference field="9" count="1" selected="0">
            <x v="3"/>
          </reference>
        </references>
      </pivotArea>
    </chartFormat>
    <chartFormat chart="6" format="2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EDFE95-F190-4E57-8838-8B84F17801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5">
    <pivotField showAll="0"/>
    <pivotField showAll="0"/>
    <pivotField numFmtId="165" showAll="0">
      <items count="3">
        <item x="0"/>
        <item x="1"/>
        <item t="default"/>
      </items>
    </pivotField>
    <pivotField showAll="0"/>
    <pivotField numFmtId="164" showAll="0"/>
    <pivotField showAll="0"/>
    <pivotField showAll="0"/>
    <pivotField showAll="0">
      <items count="4">
        <item x="2"/>
        <item x="1"/>
        <item x="0"/>
        <item t="default"/>
      </items>
    </pivotField>
    <pivotField showAll="0"/>
    <pivotField showAll="0"/>
    <pivotField dataField="1" showAll="0"/>
    <pivotField showAll="0"/>
    <pivotField showAll="0"/>
    <pivotField showAll="0"/>
    <pivotField showAll="0">
      <items count="3">
        <item x="1"/>
        <item x="0"/>
        <item t="default"/>
      </items>
    </pivotField>
  </pivotFields>
  <rowItems count="1">
    <i/>
  </rowItems>
  <colItems count="1">
    <i/>
  </colItems>
  <dataFields count="1">
    <dataField name="Sum of Quantity" fld="10" baseField="0"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Status" xr10:uid="{6D09BEFD-9232-4971-A837-4E7140834A5B}" sourceName="Sales Status">
  <pivotTables>
    <pivotTable tabId="4" name="PivotTable7"/>
    <pivotTable tabId="4" name="PivotTable1"/>
    <pivotTable tabId="4" name="PivotTable10"/>
    <pivotTable tabId="4" name="PivotTable11"/>
    <pivotTable tabId="4" name="PivotTable12"/>
    <pivotTable tabId="4" name="PivotTable4"/>
    <pivotTable tabId="4" name="PivotTable5"/>
    <pivotTable tabId="4" name="PivotTable6"/>
    <pivotTable tabId="4" name="PivotTable8"/>
    <pivotTable tabId="4" name="PivotTable9"/>
  </pivotTables>
  <data>
    <tabular pivotCacheId="175450413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0DBB1F9-48AF-4C32-84A2-1690DE46D434}" sourceName="Delivery Status">
  <pivotTables>
    <pivotTable tabId="4" name="PivotTable7"/>
    <pivotTable tabId="4" name="PivotTable1"/>
    <pivotTable tabId="4" name="PivotTable10"/>
    <pivotTable tabId="4" name="PivotTable11"/>
    <pivotTable tabId="4" name="PivotTable12"/>
    <pivotTable tabId="4" name="PivotTable4"/>
    <pivotTable tabId="4" name="PivotTable5"/>
    <pivotTable tabId="4" name="PivotTable6"/>
    <pivotTable tabId="4" name="PivotTable8"/>
    <pivotTable tabId="4" name="PivotTable9"/>
  </pivotTables>
  <data>
    <tabular pivotCacheId="175450413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Year" xr10:uid="{D197F34E-D1DE-400D-BE33-6B385083ED95}" sourceName="Sales  Year">
  <pivotTables>
    <pivotTable tabId="4" name="PivotTable7"/>
    <pivotTable tabId="4" name="PivotTable1"/>
    <pivotTable tabId="4" name="PivotTable10"/>
    <pivotTable tabId="4" name="PivotTable11"/>
    <pivotTable tabId="4" name="PivotTable12"/>
    <pivotTable tabId="4" name="PivotTable4"/>
    <pivotTable tabId="4" name="PivotTable5"/>
    <pivotTable tabId="4" name="PivotTable6"/>
    <pivotTable tabId="4" name="PivotTable8"/>
    <pivotTable tabId="4" name="PivotTable9"/>
  </pivotTables>
  <data>
    <tabular pivotCacheId="175450413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Status 1" xr10:uid="{49221C77-F00A-44C2-B1EE-C170D20C685E}" cache="Slicer_Sales_Status" caption="Sales Status" showCaption="0" style="Slicer Style 1" rowHeight="225425"/>
  <slicer name="Delivery Status 1" xr10:uid="{86B13707-CF49-4812-98BA-86546B1A6197}" cache="Slicer_Delivery_Status" caption="Delivery Status" showCaption="0" style="Slicer Style 1" rowHeight="225425"/>
  <slicer name="Sales  Year" xr10:uid="{0450E989-0EB1-441B-BA54-43E0DB44A760}" cache="Slicer_Sales__Year" caption="Sales  Year" showCaption="0" style="Slicer Style 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3BD071-2B28-48D5-92FB-6E0648E039A8}" name="Table1" displayName="Table1" ref="A3:O40" totalsRowShown="0">
  <autoFilter ref="A3:O40" xr:uid="{ED3BD071-2B28-48D5-92FB-6E0648E039A8}"/>
  <tableColumns count="15">
    <tableColumn id="1" xr3:uid="{53D61057-0368-496A-81EC-C0C8E53906FC}" name="CustomerID"/>
    <tableColumn id="2" xr3:uid="{0B2DAF4F-BB4C-422C-B011-1A2F0B1BF5D6}" name="City"/>
    <tableColumn id="3" xr3:uid="{D844EDCD-31FE-4381-B687-FEEC65610FDD}" name="Sales  Year"/>
    <tableColumn id="4" xr3:uid="{961E7347-0055-4BBC-B1AE-15251858513E}" name="Month Sales"/>
    <tableColumn id="5" xr3:uid="{EB918729-FD9B-407D-90C6-B14FD60A90F1}" name="DeliveryDate" dataDxfId="17"/>
    <tableColumn id="6" xr3:uid="{9095096F-2D26-46D2-83BE-199D7FC7BFD2}" name="SalesValue"/>
    <tableColumn id="7" xr3:uid="{68F823B0-05AA-49F8-A150-CA2B7BE08328}" name="DeliveryDuration"/>
    <tableColumn id="8" xr3:uid="{085DD0BD-7EEA-40FE-BD43-DBED3BBCDD9C}" name="Delivery Status"/>
    <tableColumn id="9" xr3:uid="{3837E6B0-3AE4-43C8-82A5-67078A6FB256}" name="Week Sales"/>
    <tableColumn id="10" xr3:uid="{5BD960BC-3C7D-482A-9969-96C92D95C3F9}" name="Product"/>
    <tableColumn id="11" xr3:uid="{9B5E2945-FA8A-417B-8773-3CE680866177}" name="Quantity"/>
    <tableColumn id="12" xr3:uid="{990132CD-7D0E-452D-8034-2F3F6F1EF769}" name="UnitPrice"/>
    <tableColumn id="13" xr3:uid="{6AFA6891-B5C1-48F8-8D88-FEE58E78C6EC}" name="TotalPrice"/>
    <tableColumn id="14" xr3:uid="{6A680DCF-F4E1-4573-BD9D-C50C684C3EDA}" name="SalesRep"/>
    <tableColumn id="15" xr3:uid="{19CC8925-E089-406F-A063-6302E85E09BB}" name="Sales Statu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701"/>
  <sheetViews>
    <sheetView workbookViewId="0">
      <selection activeCell="B13" sqref="A1:N701"/>
    </sheetView>
  </sheetViews>
  <sheetFormatPr defaultColWidth="12.5703125" defaultRowHeight="15.75" customHeight="1" x14ac:dyDescent="0.2"/>
  <cols>
    <col min="1" max="1" width="13.140625" bestFit="1" customWidth="1"/>
    <col min="2" max="2" width="10.140625" bestFit="1" customWidth="1"/>
    <col min="3" max="3" width="9.7109375" bestFit="1" customWidth="1"/>
    <col min="4" max="4" width="11.28515625" bestFit="1" customWidth="1"/>
    <col min="5" max="6" width="18.28515625" bestFit="1" customWidth="1"/>
    <col min="7" max="7" width="10.7109375" bestFit="1" customWidth="1"/>
    <col min="8" max="8" width="16.28515625" bestFit="1" customWidth="1"/>
    <col min="9" max="9" width="11.7109375" bestFit="1" customWidth="1"/>
    <col min="10" max="10" width="12.140625" bestFit="1" customWidth="1"/>
    <col min="11" max="11" width="8.7109375" bestFit="1" customWidth="1"/>
    <col min="12" max="12" width="9.28515625" bestFit="1" customWidth="1"/>
    <col min="13" max="13" width="9.85546875" bestFit="1" customWidth="1"/>
    <col min="14" max="14" width="9" bestFit="1" customWidth="1"/>
  </cols>
  <sheetData>
    <row r="1" spans="1:1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x14ac:dyDescent="0.25">
      <c r="A2" s="2" t="s">
        <v>14</v>
      </c>
      <c r="B2" s="2" t="s">
        <v>15</v>
      </c>
      <c r="C2" s="2" t="s">
        <v>16</v>
      </c>
      <c r="D2" s="2" t="s">
        <v>17</v>
      </c>
      <c r="E2" s="3">
        <v>45226</v>
      </c>
      <c r="F2" s="3">
        <v>45232</v>
      </c>
      <c r="G2" s="4">
        <v>119</v>
      </c>
      <c r="H2" s="4">
        <v>6</v>
      </c>
      <c r="I2" s="2" t="s">
        <v>18</v>
      </c>
      <c r="J2" s="2" t="s">
        <v>19</v>
      </c>
      <c r="K2" s="4">
        <v>2</v>
      </c>
      <c r="L2" s="4">
        <v>111.47</v>
      </c>
      <c r="M2" s="4">
        <v>222.94</v>
      </c>
      <c r="N2" s="2" t="s">
        <v>20</v>
      </c>
    </row>
    <row r="3" spans="1:14" ht="15.75" customHeight="1" x14ac:dyDescent="0.25">
      <c r="A3" s="2" t="s">
        <v>21</v>
      </c>
      <c r="B3" s="2" t="s">
        <v>22</v>
      </c>
      <c r="C3" s="2" t="s">
        <v>16</v>
      </c>
      <c r="D3" s="2" t="s">
        <v>23</v>
      </c>
      <c r="E3" s="3">
        <v>45052</v>
      </c>
      <c r="F3" s="3">
        <v>45061</v>
      </c>
      <c r="G3" s="4">
        <v>686</v>
      </c>
      <c r="H3" s="4">
        <v>9</v>
      </c>
      <c r="I3" s="2" t="s">
        <v>24</v>
      </c>
      <c r="J3" s="2" t="s">
        <v>25</v>
      </c>
      <c r="K3" s="4">
        <v>1</v>
      </c>
      <c r="L3" s="4">
        <v>343.24</v>
      </c>
      <c r="M3" s="4">
        <v>343.24</v>
      </c>
      <c r="N3" s="2" t="s">
        <v>26</v>
      </c>
    </row>
    <row r="4" spans="1:14" ht="15.75" customHeight="1" x14ac:dyDescent="0.25">
      <c r="A4" s="2" t="s">
        <v>27</v>
      </c>
      <c r="B4" s="2" t="s">
        <v>28</v>
      </c>
      <c r="C4" s="2" t="s">
        <v>29</v>
      </c>
      <c r="D4" s="2" t="s">
        <v>23</v>
      </c>
      <c r="E4" s="3">
        <v>45053</v>
      </c>
      <c r="F4" s="3">
        <v>45059</v>
      </c>
      <c r="G4" s="4">
        <v>854</v>
      </c>
      <c r="H4" s="4">
        <v>6</v>
      </c>
      <c r="I4" s="2" t="s">
        <v>30</v>
      </c>
      <c r="J4" s="2" t="s">
        <v>25</v>
      </c>
      <c r="K4" s="4">
        <v>1</v>
      </c>
      <c r="L4" s="4">
        <v>382.37</v>
      </c>
      <c r="M4" s="4">
        <v>382.37</v>
      </c>
      <c r="N4" s="2" t="s">
        <v>31</v>
      </c>
    </row>
    <row r="5" spans="1:14" ht="15.75" customHeight="1" x14ac:dyDescent="0.25">
      <c r="A5" s="2" t="s">
        <v>32</v>
      </c>
      <c r="B5" s="2" t="s">
        <v>33</v>
      </c>
      <c r="C5" s="2" t="s">
        <v>34</v>
      </c>
      <c r="D5" s="2" t="s">
        <v>35</v>
      </c>
      <c r="E5" s="3">
        <v>44938</v>
      </c>
      <c r="F5" s="3">
        <v>44947</v>
      </c>
      <c r="G5" s="4">
        <v>834</v>
      </c>
      <c r="H5" s="4">
        <v>9</v>
      </c>
      <c r="I5" s="2" t="s">
        <v>30</v>
      </c>
      <c r="J5" s="2" t="s">
        <v>25</v>
      </c>
      <c r="K5" s="4">
        <v>4</v>
      </c>
      <c r="L5" s="4">
        <v>192.03</v>
      </c>
      <c r="M5" s="4">
        <v>768.12</v>
      </c>
      <c r="N5" s="2" t="s">
        <v>20</v>
      </c>
    </row>
    <row r="6" spans="1:14" ht="15.75" customHeight="1" x14ac:dyDescent="0.25">
      <c r="A6" s="2" t="s">
        <v>36</v>
      </c>
      <c r="B6" s="2" t="s">
        <v>22</v>
      </c>
      <c r="C6" s="2" t="s">
        <v>37</v>
      </c>
      <c r="D6" s="2" t="s">
        <v>23</v>
      </c>
      <c r="E6" s="3">
        <v>45127</v>
      </c>
      <c r="F6" s="3">
        <v>45134</v>
      </c>
      <c r="G6" s="4">
        <v>169</v>
      </c>
      <c r="H6" s="4">
        <v>7</v>
      </c>
      <c r="I6" s="2" t="s">
        <v>18</v>
      </c>
      <c r="J6" s="2" t="s">
        <v>19</v>
      </c>
      <c r="K6" s="4">
        <v>4</v>
      </c>
      <c r="L6" s="4">
        <v>340.17</v>
      </c>
      <c r="M6" s="4">
        <v>1360.68</v>
      </c>
      <c r="N6" s="2" t="s">
        <v>31</v>
      </c>
    </row>
    <row r="7" spans="1:14" ht="15.75" customHeight="1" x14ac:dyDescent="0.25">
      <c r="A7" s="2" t="s">
        <v>38</v>
      </c>
      <c r="B7" s="2" t="s">
        <v>28</v>
      </c>
      <c r="C7" s="2" t="s">
        <v>37</v>
      </c>
      <c r="D7" s="2" t="s">
        <v>17</v>
      </c>
      <c r="E7" s="3">
        <v>45122</v>
      </c>
      <c r="F7" s="3">
        <v>45131</v>
      </c>
      <c r="G7" s="4">
        <v>923</v>
      </c>
      <c r="H7" s="4">
        <v>9</v>
      </c>
      <c r="I7" s="2" t="s">
        <v>24</v>
      </c>
      <c r="J7" s="2" t="s">
        <v>39</v>
      </c>
      <c r="K7" s="4">
        <v>3</v>
      </c>
      <c r="L7" s="4">
        <v>227.81</v>
      </c>
      <c r="M7" s="4">
        <v>683.43</v>
      </c>
      <c r="N7" s="2" t="s">
        <v>31</v>
      </c>
    </row>
    <row r="8" spans="1:14" ht="15.75" customHeight="1" x14ac:dyDescent="0.25">
      <c r="A8" s="2" t="s">
        <v>40</v>
      </c>
      <c r="B8" s="2" t="s">
        <v>41</v>
      </c>
      <c r="C8" s="2" t="s">
        <v>16</v>
      </c>
      <c r="D8" s="2" t="s">
        <v>35</v>
      </c>
      <c r="E8" s="3">
        <v>45056</v>
      </c>
      <c r="F8" s="3">
        <v>45058</v>
      </c>
      <c r="G8" s="4">
        <v>310</v>
      </c>
      <c r="H8" s="4">
        <v>2</v>
      </c>
      <c r="I8" s="2" t="s">
        <v>42</v>
      </c>
      <c r="J8" s="2" t="s">
        <v>25</v>
      </c>
      <c r="K8" s="4">
        <v>4</v>
      </c>
      <c r="L8" s="4">
        <v>370.94</v>
      </c>
      <c r="M8" s="4">
        <v>1483.76</v>
      </c>
      <c r="N8" s="2" t="s">
        <v>43</v>
      </c>
    </row>
    <row r="9" spans="1:14" ht="15.75" customHeight="1" x14ac:dyDescent="0.25">
      <c r="A9" s="2" t="s">
        <v>44</v>
      </c>
      <c r="B9" s="2" t="s">
        <v>45</v>
      </c>
      <c r="C9" s="2" t="s">
        <v>46</v>
      </c>
      <c r="D9" s="2" t="s">
        <v>47</v>
      </c>
      <c r="E9" s="3">
        <v>45253</v>
      </c>
      <c r="F9" s="3">
        <v>45261</v>
      </c>
      <c r="G9" s="4">
        <v>200</v>
      </c>
      <c r="H9" s="4">
        <v>8</v>
      </c>
      <c r="I9" s="2" t="s">
        <v>42</v>
      </c>
      <c r="J9" s="2" t="s">
        <v>25</v>
      </c>
      <c r="K9" s="4">
        <v>4</v>
      </c>
      <c r="L9" s="4">
        <v>139.65</v>
      </c>
      <c r="M9" s="4">
        <v>558.6</v>
      </c>
      <c r="N9" s="2" t="s">
        <v>31</v>
      </c>
    </row>
    <row r="10" spans="1:14" ht="15.75" customHeight="1" x14ac:dyDescent="0.25">
      <c r="A10" s="2" t="s">
        <v>48</v>
      </c>
      <c r="B10" s="2" t="s">
        <v>22</v>
      </c>
      <c r="C10" s="2" t="s">
        <v>16</v>
      </c>
      <c r="D10" s="2" t="s">
        <v>17</v>
      </c>
      <c r="E10" s="3">
        <v>44973</v>
      </c>
      <c r="F10" s="3">
        <v>44981</v>
      </c>
      <c r="G10" s="4">
        <v>797</v>
      </c>
      <c r="H10" s="4">
        <v>8</v>
      </c>
      <c r="I10" s="2" t="s">
        <v>42</v>
      </c>
      <c r="J10" s="2" t="s">
        <v>49</v>
      </c>
      <c r="K10" s="4">
        <v>4</v>
      </c>
      <c r="L10" s="4">
        <v>450.6</v>
      </c>
      <c r="M10" s="4">
        <v>1802.4</v>
      </c>
      <c r="N10" s="2" t="s">
        <v>20</v>
      </c>
    </row>
    <row r="11" spans="1:14" ht="15.75" customHeight="1" x14ac:dyDescent="0.25">
      <c r="A11" s="2" t="s">
        <v>50</v>
      </c>
      <c r="B11" s="2" t="s">
        <v>28</v>
      </c>
      <c r="C11" s="2" t="s">
        <v>37</v>
      </c>
      <c r="D11" s="2" t="s">
        <v>35</v>
      </c>
      <c r="E11" s="3">
        <v>45047</v>
      </c>
      <c r="F11" s="3">
        <v>45049</v>
      </c>
      <c r="G11" s="4">
        <v>231</v>
      </c>
      <c r="H11" s="4">
        <v>2</v>
      </c>
      <c r="I11" s="2" t="s">
        <v>51</v>
      </c>
      <c r="J11" s="2" t="s">
        <v>19</v>
      </c>
      <c r="K11" s="4">
        <v>1</v>
      </c>
      <c r="L11" s="4">
        <v>179.33</v>
      </c>
      <c r="M11" s="4">
        <v>179.33</v>
      </c>
      <c r="N11" s="2" t="s">
        <v>43</v>
      </c>
    </row>
    <row r="12" spans="1:14" ht="15.75" customHeight="1" x14ac:dyDescent="0.25">
      <c r="A12" s="2" t="s">
        <v>52</v>
      </c>
      <c r="B12" s="2" t="s">
        <v>53</v>
      </c>
      <c r="C12" s="2" t="s">
        <v>34</v>
      </c>
      <c r="D12" s="2" t="s">
        <v>54</v>
      </c>
      <c r="E12" s="3">
        <v>45044</v>
      </c>
      <c r="F12" s="3">
        <v>45048</v>
      </c>
      <c r="G12" s="4">
        <v>722</v>
      </c>
      <c r="H12" s="4">
        <v>4</v>
      </c>
      <c r="I12" s="2" t="s">
        <v>55</v>
      </c>
      <c r="J12" s="2" t="s">
        <v>19</v>
      </c>
      <c r="K12" s="4">
        <v>1</v>
      </c>
      <c r="L12" s="4">
        <v>215.5</v>
      </c>
      <c r="M12" s="4">
        <v>215.5</v>
      </c>
      <c r="N12" s="2" t="s">
        <v>43</v>
      </c>
    </row>
    <row r="13" spans="1:14" ht="15.75" customHeight="1" x14ac:dyDescent="0.25">
      <c r="A13" s="2" t="s">
        <v>56</v>
      </c>
      <c r="B13" s="2" t="s">
        <v>41</v>
      </c>
      <c r="C13" s="2" t="s">
        <v>46</v>
      </c>
      <c r="D13" s="2" t="s">
        <v>17</v>
      </c>
      <c r="E13" s="3">
        <v>44960</v>
      </c>
      <c r="F13" s="3">
        <v>44967</v>
      </c>
      <c r="G13" s="4">
        <v>480</v>
      </c>
      <c r="H13" s="4">
        <v>7</v>
      </c>
      <c r="I13" s="2" t="s">
        <v>42</v>
      </c>
      <c r="J13" s="2" t="s">
        <v>57</v>
      </c>
      <c r="K13" s="4">
        <v>1</v>
      </c>
      <c r="L13" s="4">
        <v>76.14</v>
      </c>
      <c r="M13" s="4">
        <v>76.14</v>
      </c>
      <c r="N13" s="2" t="s">
        <v>43</v>
      </c>
    </row>
    <row r="14" spans="1:14" ht="15.75" customHeight="1" x14ac:dyDescent="0.25">
      <c r="A14" s="2" t="s">
        <v>58</v>
      </c>
      <c r="B14" s="2" t="s">
        <v>22</v>
      </c>
      <c r="C14" s="2" t="s">
        <v>46</v>
      </c>
      <c r="D14" s="2" t="s">
        <v>35</v>
      </c>
      <c r="E14" s="3">
        <v>45102</v>
      </c>
      <c r="F14" s="3">
        <v>45106</v>
      </c>
      <c r="G14" s="4">
        <v>231</v>
      </c>
      <c r="H14" s="4">
        <v>4</v>
      </c>
      <c r="I14" s="2" t="s">
        <v>18</v>
      </c>
      <c r="J14" s="2" t="s">
        <v>19</v>
      </c>
      <c r="K14" s="4">
        <v>4</v>
      </c>
      <c r="L14" s="4">
        <v>100.18</v>
      </c>
      <c r="M14" s="4">
        <v>400.72</v>
      </c>
      <c r="N14" s="2" t="s">
        <v>26</v>
      </c>
    </row>
    <row r="15" spans="1:14" ht="15.75" customHeight="1" x14ac:dyDescent="0.25">
      <c r="A15" s="2" t="s">
        <v>59</v>
      </c>
      <c r="B15" s="2" t="s">
        <v>28</v>
      </c>
      <c r="C15" s="2" t="s">
        <v>29</v>
      </c>
      <c r="D15" s="2" t="s">
        <v>47</v>
      </c>
      <c r="E15" s="3">
        <v>45178</v>
      </c>
      <c r="F15" s="3">
        <v>45182</v>
      </c>
      <c r="G15" s="4">
        <v>119</v>
      </c>
      <c r="H15" s="4">
        <v>4</v>
      </c>
      <c r="I15" s="2" t="s">
        <v>51</v>
      </c>
      <c r="J15" s="2" t="s">
        <v>25</v>
      </c>
      <c r="K15" s="4">
        <v>1</v>
      </c>
      <c r="L15" s="4">
        <v>282.14</v>
      </c>
      <c r="M15" s="4">
        <v>282.14</v>
      </c>
      <c r="N15" s="2" t="s">
        <v>43</v>
      </c>
    </row>
    <row r="16" spans="1:14" ht="15.75" customHeight="1" x14ac:dyDescent="0.25">
      <c r="A16" s="2" t="s">
        <v>60</v>
      </c>
      <c r="B16" s="2" t="s">
        <v>22</v>
      </c>
      <c r="C16" s="2" t="s">
        <v>61</v>
      </c>
      <c r="D16" s="2" t="s">
        <v>54</v>
      </c>
      <c r="E16" s="3">
        <v>45113</v>
      </c>
      <c r="F16" s="3">
        <v>45119</v>
      </c>
      <c r="G16" s="4">
        <v>635</v>
      </c>
      <c r="H16" s="4">
        <v>6</v>
      </c>
      <c r="I16" s="2" t="s">
        <v>51</v>
      </c>
      <c r="J16" s="2" t="s">
        <v>49</v>
      </c>
      <c r="K16" s="4">
        <v>4</v>
      </c>
      <c r="L16" s="4">
        <v>170.42</v>
      </c>
      <c r="M16" s="4">
        <v>681.68</v>
      </c>
      <c r="N16" s="2" t="s">
        <v>31</v>
      </c>
    </row>
    <row r="17" spans="1:14" ht="15.75" customHeight="1" x14ac:dyDescent="0.25">
      <c r="A17" s="2" t="s">
        <v>62</v>
      </c>
      <c r="B17" s="2" t="s">
        <v>41</v>
      </c>
      <c r="C17" s="2" t="s">
        <v>61</v>
      </c>
      <c r="D17" s="2" t="s">
        <v>23</v>
      </c>
      <c r="E17" s="3">
        <v>44984</v>
      </c>
      <c r="F17" s="3">
        <v>44990</v>
      </c>
      <c r="G17" s="4">
        <v>326</v>
      </c>
      <c r="H17" s="4">
        <v>6</v>
      </c>
      <c r="I17" s="2" t="s">
        <v>63</v>
      </c>
      <c r="J17" s="2" t="s">
        <v>49</v>
      </c>
      <c r="K17" s="4">
        <v>1</v>
      </c>
      <c r="L17" s="4">
        <v>425.97</v>
      </c>
      <c r="M17" s="4">
        <v>425.97</v>
      </c>
      <c r="N17" s="2" t="s">
        <v>43</v>
      </c>
    </row>
    <row r="18" spans="1:14" ht="15.75" customHeight="1" x14ac:dyDescent="0.25">
      <c r="A18" s="2" t="s">
        <v>64</v>
      </c>
      <c r="B18" s="2" t="s">
        <v>41</v>
      </c>
      <c r="C18" s="2" t="s">
        <v>34</v>
      </c>
      <c r="D18" s="2" t="s">
        <v>54</v>
      </c>
      <c r="E18" s="3">
        <v>45064</v>
      </c>
      <c r="F18" s="3">
        <v>45067</v>
      </c>
      <c r="G18" s="4">
        <v>253</v>
      </c>
      <c r="H18" s="4">
        <v>3</v>
      </c>
      <c r="I18" s="2" t="s">
        <v>63</v>
      </c>
      <c r="J18" s="2" t="s">
        <v>19</v>
      </c>
      <c r="K18" s="4">
        <v>1</v>
      </c>
      <c r="L18" s="4">
        <v>56.61</v>
      </c>
      <c r="M18" s="4">
        <v>56.61</v>
      </c>
      <c r="N18" s="2" t="s">
        <v>43</v>
      </c>
    </row>
    <row r="19" spans="1:14" ht="15.75" customHeight="1" x14ac:dyDescent="0.25">
      <c r="A19" s="2" t="s">
        <v>65</v>
      </c>
      <c r="B19" s="2" t="s">
        <v>15</v>
      </c>
      <c r="C19" s="2" t="s">
        <v>37</v>
      </c>
      <c r="D19" s="2" t="s">
        <v>54</v>
      </c>
      <c r="E19" s="3">
        <v>44927</v>
      </c>
      <c r="F19" s="3">
        <v>44936</v>
      </c>
      <c r="G19" s="4">
        <v>904</v>
      </c>
      <c r="H19" s="4">
        <v>9</v>
      </c>
      <c r="I19" s="2" t="s">
        <v>55</v>
      </c>
      <c r="J19" s="2" t="s">
        <v>19</v>
      </c>
      <c r="K19" s="4">
        <v>2</v>
      </c>
      <c r="L19" s="4">
        <v>220.59</v>
      </c>
      <c r="M19" s="4">
        <v>441.18</v>
      </c>
      <c r="N19" s="2" t="s">
        <v>31</v>
      </c>
    </row>
    <row r="20" spans="1:14" ht="15.75" customHeight="1" x14ac:dyDescent="0.25">
      <c r="A20" s="2" t="s">
        <v>66</v>
      </c>
      <c r="B20" s="2" t="s">
        <v>33</v>
      </c>
      <c r="C20" s="2" t="s">
        <v>37</v>
      </c>
      <c r="D20" s="2" t="s">
        <v>23</v>
      </c>
      <c r="E20" s="3">
        <v>45243</v>
      </c>
      <c r="F20" s="3">
        <v>45245</v>
      </c>
      <c r="G20" s="4">
        <v>841</v>
      </c>
      <c r="H20" s="4">
        <v>2</v>
      </c>
      <c r="I20" s="2" t="s">
        <v>51</v>
      </c>
      <c r="J20" s="2" t="s">
        <v>25</v>
      </c>
      <c r="K20" s="4">
        <v>3</v>
      </c>
      <c r="L20" s="4">
        <v>201.81</v>
      </c>
      <c r="M20" s="4">
        <v>605.42999999999995</v>
      </c>
      <c r="N20" s="2" t="s">
        <v>43</v>
      </c>
    </row>
    <row r="21" spans="1:14" ht="15.75" customHeight="1" x14ac:dyDescent="0.25">
      <c r="A21" s="2" t="s">
        <v>67</v>
      </c>
      <c r="B21" s="2" t="s">
        <v>15</v>
      </c>
      <c r="C21" s="2" t="s">
        <v>16</v>
      </c>
      <c r="D21" s="2" t="s">
        <v>17</v>
      </c>
      <c r="E21" s="3">
        <v>44957</v>
      </c>
      <c r="F21" s="3">
        <v>44963</v>
      </c>
      <c r="G21" s="4">
        <v>568</v>
      </c>
      <c r="H21" s="4">
        <v>6</v>
      </c>
      <c r="I21" s="2" t="s">
        <v>24</v>
      </c>
      <c r="J21" s="2" t="s">
        <v>57</v>
      </c>
      <c r="K21" s="4">
        <v>4</v>
      </c>
      <c r="L21" s="4">
        <v>58.7</v>
      </c>
      <c r="M21" s="4">
        <v>234.8</v>
      </c>
      <c r="N21" s="2" t="s">
        <v>20</v>
      </c>
    </row>
    <row r="22" spans="1:14" ht="15.75" customHeight="1" x14ac:dyDescent="0.25">
      <c r="A22" s="2" t="s">
        <v>68</v>
      </c>
      <c r="B22" s="2" t="s">
        <v>53</v>
      </c>
      <c r="C22" s="2" t="s">
        <v>34</v>
      </c>
      <c r="D22" s="2" t="s">
        <v>23</v>
      </c>
      <c r="E22" s="3">
        <v>45145</v>
      </c>
      <c r="F22" s="3">
        <v>45152</v>
      </c>
      <c r="G22" s="4">
        <v>921</v>
      </c>
      <c r="H22" s="4">
        <v>7</v>
      </c>
      <c r="I22" s="2" t="s">
        <v>24</v>
      </c>
      <c r="J22" s="2" t="s">
        <v>57</v>
      </c>
      <c r="K22" s="4">
        <v>2</v>
      </c>
      <c r="L22" s="4">
        <v>105.97</v>
      </c>
      <c r="M22" s="4">
        <v>211.94</v>
      </c>
      <c r="N22" s="2" t="s">
        <v>26</v>
      </c>
    </row>
    <row r="23" spans="1:14" ht="15.75" customHeight="1" x14ac:dyDescent="0.25">
      <c r="A23" s="2" t="s">
        <v>69</v>
      </c>
      <c r="B23" s="2" t="s">
        <v>53</v>
      </c>
      <c r="C23" s="2" t="s">
        <v>46</v>
      </c>
      <c r="D23" s="2" t="s">
        <v>23</v>
      </c>
      <c r="E23" s="3">
        <v>45286</v>
      </c>
      <c r="F23" s="3">
        <v>45295</v>
      </c>
      <c r="G23" s="4">
        <v>970</v>
      </c>
      <c r="H23" s="4">
        <v>9</v>
      </c>
      <c r="I23" s="2" t="s">
        <v>18</v>
      </c>
      <c r="J23" s="2" t="s">
        <v>57</v>
      </c>
      <c r="K23" s="4">
        <v>1</v>
      </c>
      <c r="L23" s="4">
        <v>236.14</v>
      </c>
      <c r="M23" s="4">
        <v>236.14</v>
      </c>
      <c r="N23" s="2" t="s">
        <v>26</v>
      </c>
    </row>
    <row r="24" spans="1:14" ht="15.75" customHeight="1" x14ac:dyDescent="0.25">
      <c r="A24" s="2" t="s">
        <v>70</v>
      </c>
      <c r="B24" s="2" t="s">
        <v>15</v>
      </c>
      <c r="C24" s="2" t="s">
        <v>16</v>
      </c>
      <c r="D24" s="2" t="s">
        <v>47</v>
      </c>
      <c r="E24" s="3">
        <v>45122</v>
      </c>
      <c r="F24" s="3">
        <v>45125</v>
      </c>
      <c r="G24" s="4">
        <v>504</v>
      </c>
      <c r="H24" s="4">
        <v>3</v>
      </c>
      <c r="I24" s="2" t="s">
        <v>55</v>
      </c>
      <c r="J24" s="2" t="s">
        <v>57</v>
      </c>
      <c r="K24" s="4">
        <v>4</v>
      </c>
      <c r="L24" s="4">
        <v>271.79000000000002</v>
      </c>
      <c r="M24" s="4">
        <v>1087.1600000000001</v>
      </c>
      <c r="N24" s="2" t="s">
        <v>20</v>
      </c>
    </row>
    <row r="25" spans="1:14" ht="15.75" customHeight="1" x14ac:dyDescent="0.25">
      <c r="A25" s="2" t="s">
        <v>71</v>
      </c>
      <c r="B25" s="2" t="s">
        <v>22</v>
      </c>
      <c r="C25" s="2" t="s">
        <v>37</v>
      </c>
      <c r="D25" s="2" t="s">
        <v>54</v>
      </c>
      <c r="E25" s="3">
        <v>45264</v>
      </c>
      <c r="F25" s="3">
        <v>45267</v>
      </c>
      <c r="G25" s="4">
        <v>301</v>
      </c>
      <c r="H25" s="4">
        <v>3</v>
      </c>
      <c r="I25" s="2" t="s">
        <v>18</v>
      </c>
      <c r="J25" s="2" t="s">
        <v>19</v>
      </c>
      <c r="K25" s="4">
        <v>1</v>
      </c>
      <c r="L25" s="4">
        <v>231.93</v>
      </c>
      <c r="M25" s="4">
        <v>231.93</v>
      </c>
      <c r="N25" s="2" t="s">
        <v>26</v>
      </c>
    </row>
    <row r="26" spans="1:14" ht="15.75" customHeight="1" x14ac:dyDescent="0.25">
      <c r="A26" s="2" t="s">
        <v>72</v>
      </c>
      <c r="B26" s="2" t="s">
        <v>53</v>
      </c>
      <c r="C26" s="2" t="s">
        <v>37</v>
      </c>
      <c r="D26" s="2" t="s">
        <v>17</v>
      </c>
      <c r="E26" s="3">
        <v>45013</v>
      </c>
      <c r="F26" s="3">
        <v>45020</v>
      </c>
      <c r="G26" s="4">
        <v>137</v>
      </c>
      <c r="H26" s="4">
        <v>7</v>
      </c>
      <c r="I26" s="2" t="s">
        <v>55</v>
      </c>
      <c r="J26" s="2" t="s">
        <v>19</v>
      </c>
      <c r="K26" s="4">
        <v>3</v>
      </c>
      <c r="L26" s="4">
        <v>288.92</v>
      </c>
      <c r="M26" s="4">
        <v>866.76</v>
      </c>
      <c r="N26" s="2" t="s">
        <v>20</v>
      </c>
    </row>
    <row r="27" spans="1:14" ht="15" x14ac:dyDescent="0.25">
      <c r="A27" s="2" t="s">
        <v>73</v>
      </c>
      <c r="B27" s="2" t="s">
        <v>22</v>
      </c>
      <c r="C27" s="2" t="s">
        <v>61</v>
      </c>
      <c r="D27" s="2" t="s">
        <v>35</v>
      </c>
      <c r="E27" s="3">
        <v>45204</v>
      </c>
      <c r="F27" s="3">
        <v>45208</v>
      </c>
      <c r="G27" s="4">
        <v>871</v>
      </c>
      <c r="H27" s="4">
        <v>4</v>
      </c>
      <c r="I27" s="2" t="s">
        <v>24</v>
      </c>
      <c r="J27" s="2" t="s">
        <v>39</v>
      </c>
      <c r="K27" s="4">
        <v>2</v>
      </c>
      <c r="L27" s="4">
        <v>317.81</v>
      </c>
      <c r="M27" s="4">
        <v>635.62</v>
      </c>
      <c r="N27" s="2" t="s">
        <v>20</v>
      </c>
    </row>
    <row r="28" spans="1:14" ht="15" x14ac:dyDescent="0.25">
      <c r="A28" s="2" t="s">
        <v>74</v>
      </c>
      <c r="B28" s="2" t="s">
        <v>75</v>
      </c>
      <c r="C28" s="2" t="s">
        <v>76</v>
      </c>
      <c r="D28" s="2" t="s">
        <v>35</v>
      </c>
      <c r="E28" s="3">
        <v>45120</v>
      </c>
      <c r="F28" s="3">
        <v>45128</v>
      </c>
      <c r="G28" s="4">
        <v>287</v>
      </c>
      <c r="H28" s="4">
        <v>8</v>
      </c>
      <c r="I28" s="2" t="s">
        <v>42</v>
      </c>
      <c r="J28" s="2" t="s">
        <v>19</v>
      </c>
      <c r="K28" s="4">
        <v>3</v>
      </c>
      <c r="L28" s="4">
        <v>54.47</v>
      </c>
      <c r="M28" s="4">
        <v>163.41</v>
      </c>
      <c r="N28" s="2" t="s">
        <v>26</v>
      </c>
    </row>
    <row r="29" spans="1:14" ht="15" x14ac:dyDescent="0.25">
      <c r="A29" s="2" t="s">
        <v>77</v>
      </c>
      <c r="B29" s="2" t="s">
        <v>33</v>
      </c>
      <c r="C29" s="2" t="s">
        <v>34</v>
      </c>
      <c r="D29" s="2" t="s">
        <v>47</v>
      </c>
      <c r="E29" s="3">
        <v>45189</v>
      </c>
      <c r="F29" s="3">
        <v>45196</v>
      </c>
      <c r="G29" s="4">
        <v>156</v>
      </c>
      <c r="H29" s="4">
        <v>7</v>
      </c>
      <c r="I29" s="2" t="s">
        <v>51</v>
      </c>
      <c r="J29" s="2" t="s">
        <v>19</v>
      </c>
      <c r="K29" s="4">
        <v>2</v>
      </c>
      <c r="L29" s="4">
        <v>258.83999999999997</v>
      </c>
      <c r="M29" s="4">
        <v>517.67999999999995</v>
      </c>
      <c r="N29" s="2" t="s">
        <v>20</v>
      </c>
    </row>
    <row r="30" spans="1:14" ht="15" x14ac:dyDescent="0.25">
      <c r="A30" s="2" t="s">
        <v>78</v>
      </c>
      <c r="B30" s="2" t="s">
        <v>33</v>
      </c>
      <c r="C30" s="2" t="s">
        <v>16</v>
      </c>
      <c r="D30" s="2" t="s">
        <v>54</v>
      </c>
      <c r="E30" s="3">
        <v>44949</v>
      </c>
      <c r="F30" s="3">
        <v>44954</v>
      </c>
      <c r="G30" s="4">
        <v>119</v>
      </c>
      <c r="H30" s="4">
        <v>5</v>
      </c>
      <c r="I30" s="2" t="s">
        <v>30</v>
      </c>
      <c r="J30" s="2" t="s">
        <v>19</v>
      </c>
      <c r="K30" s="4">
        <v>1</v>
      </c>
      <c r="L30" s="4">
        <v>483.57</v>
      </c>
      <c r="M30" s="4">
        <v>483.57</v>
      </c>
      <c r="N30" s="2" t="s">
        <v>20</v>
      </c>
    </row>
    <row r="31" spans="1:14" ht="15" x14ac:dyDescent="0.25">
      <c r="A31" s="2" t="s">
        <v>79</v>
      </c>
      <c r="B31" s="2" t="s">
        <v>75</v>
      </c>
      <c r="C31" s="2" t="s">
        <v>16</v>
      </c>
      <c r="D31" s="2" t="s">
        <v>35</v>
      </c>
      <c r="E31" s="3">
        <v>44980</v>
      </c>
      <c r="F31" s="3">
        <v>44987</v>
      </c>
      <c r="G31" s="4">
        <v>372</v>
      </c>
      <c r="H31" s="4">
        <v>7</v>
      </c>
      <c r="I31" s="2" t="s">
        <v>18</v>
      </c>
      <c r="J31" s="2" t="s">
        <v>39</v>
      </c>
      <c r="K31" s="4">
        <v>3</v>
      </c>
      <c r="L31" s="4">
        <v>283.56</v>
      </c>
      <c r="M31" s="4">
        <v>850.68</v>
      </c>
      <c r="N31" s="2" t="s">
        <v>20</v>
      </c>
    </row>
    <row r="32" spans="1:14" ht="15" x14ac:dyDescent="0.25">
      <c r="A32" s="2" t="s">
        <v>80</v>
      </c>
      <c r="B32" s="2" t="s">
        <v>45</v>
      </c>
      <c r="C32" s="2" t="s">
        <v>46</v>
      </c>
      <c r="D32" s="2" t="s">
        <v>54</v>
      </c>
      <c r="E32" s="3">
        <v>44975</v>
      </c>
      <c r="F32" s="3">
        <v>44978</v>
      </c>
      <c r="G32" s="4">
        <v>218</v>
      </c>
      <c r="H32" s="4">
        <v>3</v>
      </c>
      <c r="I32" s="2" t="s">
        <v>55</v>
      </c>
      <c r="J32" s="2" t="s">
        <v>39</v>
      </c>
      <c r="K32" s="4">
        <v>3</v>
      </c>
      <c r="L32" s="4">
        <v>354.89</v>
      </c>
      <c r="M32" s="4">
        <v>1064.67</v>
      </c>
      <c r="N32" s="2" t="s">
        <v>43</v>
      </c>
    </row>
    <row r="33" spans="1:14" ht="15" x14ac:dyDescent="0.25">
      <c r="A33" s="2" t="s">
        <v>81</v>
      </c>
      <c r="B33" s="2" t="s">
        <v>33</v>
      </c>
      <c r="C33" s="2" t="s">
        <v>16</v>
      </c>
      <c r="D33" s="2" t="s">
        <v>23</v>
      </c>
      <c r="E33" s="3">
        <v>45177</v>
      </c>
      <c r="F33" s="3">
        <v>45179</v>
      </c>
      <c r="G33" s="4">
        <v>682</v>
      </c>
      <c r="H33" s="4">
        <v>2</v>
      </c>
      <c r="I33" s="2" t="s">
        <v>63</v>
      </c>
      <c r="J33" s="2" t="s">
        <v>57</v>
      </c>
      <c r="K33" s="4">
        <v>1</v>
      </c>
      <c r="L33" s="4">
        <v>190.34</v>
      </c>
      <c r="M33" s="4">
        <v>190.34</v>
      </c>
      <c r="N33" s="2" t="s">
        <v>20</v>
      </c>
    </row>
    <row r="34" spans="1:14" ht="15" x14ac:dyDescent="0.25">
      <c r="A34" s="2" t="s">
        <v>82</v>
      </c>
      <c r="B34" s="2" t="s">
        <v>75</v>
      </c>
      <c r="C34" s="2" t="s">
        <v>37</v>
      </c>
      <c r="D34" s="2" t="s">
        <v>17</v>
      </c>
      <c r="E34" s="3">
        <v>45235</v>
      </c>
      <c r="F34" s="3">
        <v>45241</v>
      </c>
      <c r="G34" s="4">
        <v>615</v>
      </c>
      <c r="H34" s="4">
        <v>6</v>
      </c>
      <c r="I34" s="2" t="s">
        <v>30</v>
      </c>
      <c r="J34" s="2" t="s">
        <v>57</v>
      </c>
      <c r="K34" s="4">
        <v>3</v>
      </c>
      <c r="L34" s="4">
        <v>398.3</v>
      </c>
      <c r="M34" s="4">
        <v>1194.9000000000001</v>
      </c>
      <c r="N34" s="2" t="s">
        <v>31</v>
      </c>
    </row>
    <row r="35" spans="1:14" ht="15" x14ac:dyDescent="0.25">
      <c r="A35" s="2" t="s">
        <v>83</v>
      </c>
      <c r="B35" s="2" t="s">
        <v>45</v>
      </c>
      <c r="C35" s="2" t="s">
        <v>29</v>
      </c>
      <c r="D35" s="2" t="s">
        <v>17</v>
      </c>
      <c r="E35" s="3">
        <v>45200</v>
      </c>
      <c r="F35" s="3">
        <v>45202</v>
      </c>
      <c r="G35" s="4">
        <v>320</v>
      </c>
      <c r="H35" s="4">
        <v>2</v>
      </c>
      <c r="I35" s="2" t="s">
        <v>55</v>
      </c>
      <c r="J35" s="2" t="s">
        <v>19</v>
      </c>
      <c r="K35" s="4">
        <v>4</v>
      </c>
      <c r="L35" s="4">
        <v>397.81</v>
      </c>
      <c r="M35" s="4">
        <v>1591.24</v>
      </c>
      <c r="N35" s="2" t="s">
        <v>26</v>
      </c>
    </row>
    <row r="36" spans="1:14" ht="15" x14ac:dyDescent="0.25">
      <c r="A36" s="2" t="s">
        <v>84</v>
      </c>
      <c r="B36" s="2" t="s">
        <v>45</v>
      </c>
      <c r="C36" s="2" t="s">
        <v>34</v>
      </c>
      <c r="D36" s="2" t="s">
        <v>47</v>
      </c>
      <c r="E36" s="3">
        <v>44938</v>
      </c>
      <c r="F36" s="3">
        <v>44941</v>
      </c>
      <c r="G36" s="4">
        <v>625</v>
      </c>
      <c r="H36" s="4">
        <v>3</v>
      </c>
      <c r="I36" s="2" t="s">
        <v>63</v>
      </c>
      <c r="J36" s="2" t="s">
        <v>39</v>
      </c>
      <c r="K36" s="4">
        <v>2</v>
      </c>
      <c r="L36" s="4">
        <v>284.58</v>
      </c>
      <c r="M36" s="4">
        <v>569.16</v>
      </c>
      <c r="N36" s="2" t="s">
        <v>20</v>
      </c>
    </row>
    <row r="37" spans="1:14" ht="15" x14ac:dyDescent="0.25">
      <c r="A37" s="2" t="s">
        <v>85</v>
      </c>
      <c r="B37" s="2" t="s">
        <v>28</v>
      </c>
      <c r="C37" s="2" t="s">
        <v>61</v>
      </c>
      <c r="D37" s="2" t="s">
        <v>54</v>
      </c>
      <c r="E37" s="3">
        <v>45243</v>
      </c>
      <c r="F37" s="3">
        <v>45249</v>
      </c>
      <c r="G37" s="4">
        <v>614</v>
      </c>
      <c r="H37" s="4">
        <v>6</v>
      </c>
      <c r="I37" s="2" t="s">
        <v>63</v>
      </c>
      <c r="J37" s="2" t="s">
        <v>57</v>
      </c>
      <c r="K37" s="4">
        <v>2</v>
      </c>
      <c r="L37" s="4">
        <v>489.21</v>
      </c>
      <c r="M37" s="4">
        <v>978.42</v>
      </c>
      <c r="N37" s="2" t="s">
        <v>20</v>
      </c>
    </row>
    <row r="38" spans="1:14" ht="15" x14ac:dyDescent="0.25">
      <c r="A38" s="2" t="s">
        <v>86</v>
      </c>
      <c r="B38" s="2" t="s">
        <v>45</v>
      </c>
      <c r="C38" s="2" t="s">
        <v>37</v>
      </c>
      <c r="D38" s="2" t="s">
        <v>23</v>
      </c>
      <c r="E38" s="3">
        <v>45056</v>
      </c>
      <c r="F38" s="3">
        <v>45061</v>
      </c>
      <c r="G38" s="4">
        <v>827</v>
      </c>
      <c r="H38" s="4">
        <v>5</v>
      </c>
      <c r="I38" s="2" t="s">
        <v>24</v>
      </c>
      <c r="J38" s="2" t="s">
        <v>25</v>
      </c>
      <c r="K38" s="4">
        <v>2</v>
      </c>
      <c r="L38" s="4">
        <v>106.5</v>
      </c>
      <c r="M38" s="4">
        <v>213</v>
      </c>
      <c r="N38" s="2" t="s">
        <v>43</v>
      </c>
    </row>
    <row r="39" spans="1:14" ht="15" x14ac:dyDescent="0.25">
      <c r="A39" s="2" t="s">
        <v>87</v>
      </c>
      <c r="B39" s="2" t="s">
        <v>33</v>
      </c>
      <c r="C39" s="2" t="s">
        <v>61</v>
      </c>
      <c r="D39" s="2" t="s">
        <v>23</v>
      </c>
      <c r="E39" s="3">
        <v>45071</v>
      </c>
      <c r="F39" s="3">
        <v>45079</v>
      </c>
      <c r="G39" s="4">
        <v>840</v>
      </c>
      <c r="H39" s="4">
        <v>8</v>
      </c>
      <c r="I39" s="2" t="s">
        <v>42</v>
      </c>
      <c r="J39" s="2" t="s">
        <v>25</v>
      </c>
      <c r="K39" s="4">
        <v>4</v>
      </c>
      <c r="L39" s="4">
        <v>57.63</v>
      </c>
      <c r="M39" s="4">
        <v>230.52</v>
      </c>
      <c r="N39" s="2" t="s">
        <v>26</v>
      </c>
    </row>
    <row r="40" spans="1:14" ht="15" x14ac:dyDescent="0.25">
      <c r="A40" s="2" t="s">
        <v>88</v>
      </c>
      <c r="B40" s="2" t="s">
        <v>33</v>
      </c>
      <c r="C40" s="2" t="s">
        <v>34</v>
      </c>
      <c r="D40" s="2" t="s">
        <v>17</v>
      </c>
      <c r="E40" s="3">
        <v>44965</v>
      </c>
      <c r="F40" s="3">
        <v>44974</v>
      </c>
      <c r="G40" s="4">
        <v>435</v>
      </c>
      <c r="H40" s="4">
        <v>9</v>
      </c>
      <c r="I40" s="2" t="s">
        <v>42</v>
      </c>
      <c r="J40" s="2" t="s">
        <v>39</v>
      </c>
      <c r="K40" s="4">
        <v>2</v>
      </c>
      <c r="L40" s="4">
        <v>396.57</v>
      </c>
      <c r="M40" s="4">
        <v>793.14</v>
      </c>
      <c r="N40" s="2" t="s">
        <v>31</v>
      </c>
    </row>
    <row r="41" spans="1:14" ht="15" x14ac:dyDescent="0.25">
      <c r="A41" s="2" t="s">
        <v>89</v>
      </c>
      <c r="B41" s="2" t="s">
        <v>41</v>
      </c>
      <c r="C41" s="2" t="s">
        <v>76</v>
      </c>
      <c r="D41" s="2" t="s">
        <v>54</v>
      </c>
      <c r="E41" s="3">
        <v>45196</v>
      </c>
      <c r="F41" s="3">
        <v>45199</v>
      </c>
      <c r="G41" s="4">
        <v>797</v>
      </c>
      <c r="H41" s="4">
        <v>3</v>
      </c>
      <c r="I41" s="2" t="s">
        <v>30</v>
      </c>
      <c r="J41" s="2" t="s">
        <v>39</v>
      </c>
      <c r="K41" s="4">
        <v>1</v>
      </c>
      <c r="L41" s="4">
        <v>413.22</v>
      </c>
      <c r="M41" s="4">
        <v>413.22</v>
      </c>
      <c r="N41" s="2" t="s">
        <v>20</v>
      </c>
    </row>
    <row r="42" spans="1:14" ht="15" x14ac:dyDescent="0.25">
      <c r="A42" s="2" t="s">
        <v>90</v>
      </c>
      <c r="B42" s="2" t="s">
        <v>22</v>
      </c>
      <c r="C42" s="2" t="s">
        <v>16</v>
      </c>
      <c r="D42" s="2" t="s">
        <v>54</v>
      </c>
      <c r="E42" s="3">
        <v>44993</v>
      </c>
      <c r="F42" s="3">
        <v>44996</v>
      </c>
      <c r="G42" s="4">
        <v>154</v>
      </c>
      <c r="H42" s="4">
        <v>3</v>
      </c>
      <c r="I42" s="2" t="s">
        <v>30</v>
      </c>
      <c r="J42" s="2" t="s">
        <v>57</v>
      </c>
      <c r="K42" s="4">
        <v>3</v>
      </c>
      <c r="L42" s="4">
        <v>104.09</v>
      </c>
      <c r="M42" s="4">
        <v>312.27</v>
      </c>
      <c r="N42" s="2" t="s">
        <v>31</v>
      </c>
    </row>
    <row r="43" spans="1:14" ht="15" x14ac:dyDescent="0.25">
      <c r="A43" s="2" t="s">
        <v>91</v>
      </c>
      <c r="B43" s="2" t="s">
        <v>28</v>
      </c>
      <c r="C43" s="2" t="s">
        <v>37</v>
      </c>
      <c r="D43" s="2" t="s">
        <v>47</v>
      </c>
      <c r="E43" s="3">
        <v>45132</v>
      </c>
      <c r="F43" s="3">
        <v>45135</v>
      </c>
      <c r="G43" s="4">
        <v>599</v>
      </c>
      <c r="H43" s="4">
        <v>3</v>
      </c>
      <c r="I43" s="2" t="s">
        <v>42</v>
      </c>
      <c r="J43" s="2" t="s">
        <v>25</v>
      </c>
      <c r="K43" s="4">
        <v>4</v>
      </c>
      <c r="L43" s="4">
        <v>169.51</v>
      </c>
      <c r="M43" s="4">
        <v>678.04</v>
      </c>
      <c r="N43" s="2" t="s">
        <v>31</v>
      </c>
    </row>
    <row r="44" spans="1:14" ht="15" x14ac:dyDescent="0.25">
      <c r="A44" s="2" t="s">
        <v>92</v>
      </c>
      <c r="B44" s="2" t="s">
        <v>33</v>
      </c>
      <c r="C44" s="2" t="s">
        <v>37</v>
      </c>
      <c r="D44" s="2" t="s">
        <v>54</v>
      </c>
      <c r="E44" s="3">
        <v>45233</v>
      </c>
      <c r="F44" s="3">
        <v>45239</v>
      </c>
      <c r="G44" s="4">
        <v>999</v>
      </c>
      <c r="H44" s="4">
        <v>6</v>
      </c>
      <c r="I44" s="2" t="s">
        <v>18</v>
      </c>
      <c r="J44" s="2" t="s">
        <v>39</v>
      </c>
      <c r="K44" s="4">
        <v>2</v>
      </c>
      <c r="L44" s="4">
        <v>57.9</v>
      </c>
      <c r="M44" s="4">
        <v>115.8</v>
      </c>
      <c r="N44" s="2" t="s">
        <v>43</v>
      </c>
    </row>
    <row r="45" spans="1:14" ht="15" x14ac:dyDescent="0.25">
      <c r="A45" s="2" t="s">
        <v>93</v>
      </c>
      <c r="B45" s="2" t="s">
        <v>41</v>
      </c>
      <c r="C45" s="2" t="s">
        <v>29</v>
      </c>
      <c r="D45" s="2" t="s">
        <v>17</v>
      </c>
      <c r="E45" s="3">
        <v>44959</v>
      </c>
      <c r="F45" s="3">
        <v>44960</v>
      </c>
      <c r="G45" s="4">
        <v>987</v>
      </c>
      <c r="H45" s="4">
        <v>1</v>
      </c>
      <c r="I45" s="2" t="s">
        <v>42</v>
      </c>
      <c r="J45" s="2" t="s">
        <v>19</v>
      </c>
      <c r="K45" s="4">
        <v>1</v>
      </c>
      <c r="L45" s="4">
        <v>181.99</v>
      </c>
      <c r="M45" s="4">
        <v>181.99</v>
      </c>
      <c r="N45" s="2" t="s">
        <v>43</v>
      </c>
    </row>
    <row r="46" spans="1:14" ht="15" x14ac:dyDescent="0.25">
      <c r="A46" s="2" t="s">
        <v>94</v>
      </c>
      <c r="B46" s="2" t="s">
        <v>53</v>
      </c>
      <c r="C46" s="2" t="s">
        <v>46</v>
      </c>
      <c r="D46" s="2" t="s">
        <v>17</v>
      </c>
      <c r="E46" s="3">
        <v>45122</v>
      </c>
      <c r="F46" s="3">
        <v>45129</v>
      </c>
      <c r="G46" s="4">
        <v>865</v>
      </c>
      <c r="H46" s="4">
        <v>7</v>
      </c>
      <c r="I46" s="2" t="s">
        <v>30</v>
      </c>
      <c r="J46" s="2" t="s">
        <v>49</v>
      </c>
      <c r="K46" s="4">
        <v>3</v>
      </c>
      <c r="L46" s="4">
        <v>397.91</v>
      </c>
      <c r="M46" s="4">
        <v>1193.73</v>
      </c>
      <c r="N46" s="2" t="s">
        <v>20</v>
      </c>
    </row>
    <row r="47" spans="1:14" ht="15" x14ac:dyDescent="0.25">
      <c r="A47" s="2" t="s">
        <v>95</v>
      </c>
      <c r="B47" s="2" t="s">
        <v>22</v>
      </c>
      <c r="C47" s="2" t="s">
        <v>76</v>
      </c>
      <c r="D47" s="2" t="s">
        <v>23</v>
      </c>
      <c r="E47" s="3">
        <v>45012</v>
      </c>
      <c r="F47" s="3">
        <v>45013</v>
      </c>
      <c r="G47" s="4">
        <v>635</v>
      </c>
      <c r="H47" s="4">
        <v>1</v>
      </c>
      <c r="I47" s="2" t="s">
        <v>55</v>
      </c>
      <c r="J47" s="2" t="s">
        <v>25</v>
      </c>
      <c r="K47" s="4">
        <v>3</v>
      </c>
      <c r="L47" s="4">
        <v>283.08</v>
      </c>
      <c r="M47" s="4">
        <v>849.24</v>
      </c>
      <c r="N47" s="2" t="s">
        <v>43</v>
      </c>
    </row>
    <row r="48" spans="1:14" ht="15" x14ac:dyDescent="0.25">
      <c r="A48" s="2" t="s">
        <v>96</v>
      </c>
      <c r="B48" s="2" t="s">
        <v>33</v>
      </c>
      <c r="C48" s="2" t="s">
        <v>29</v>
      </c>
      <c r="D48" s="2" t="s">
        <v>47</v>
      </c>
      <c r="E48" s="3">
        <v>45052</v>
      </c>
      <c r="F48" s="3">
        <v>45057</v>
      </c>
      <c r="G48" s="4">
        <v>261</v>
      </c>
      <c r="H48" s="4">
        <v>5</v>
      </c>
      <c r="I48" s="2" t="s">
        <v>18</v>
      </c>
      <c r="J48" s="2" t="s">
        <v>39</v>
      </c>
      <c r="K48" s="4">
        <v>4</v>
      </c>
      <c r="L48" s="4">
        <v>206.64</v>
      </c>
      <c r="M48" s="4">
        <v>826.56</v>
      </c>
      <c r="N48" s="2" t="s">
        <v>43</v>
      </c>
    </row>
    <row r="49" spans="1:14" ht="15" x14ac:dyDescent="0.25">
      <c r="A49" s="2" t="s">
        <v>97</v>
      </c>
      <c r="B49" s="2" t="s">
        <v>28</v>
      </c>
      <c r="C49" s="2" t="s">
        <v>46</v>
      </c>
      <c r="D49" s="2" t="s">
        <v>17</v>
      </c>
      <c r="E49" s="3">
        <v>45099</v>
      </c>
      <c r="F49" s="3">
        <v>45107</v>
      </c>
      <c r="G49" s="4">
        <v>769</v>
      </c>
      <c r="H49" s="4">
        <v>8</v>
      </c>
      <c r="I49" s="2" t="s">
        <v>42</v>
      </c>
      <c r="J49" s="2" t="s">
        <v>25</v>
      </c>
      <c r="K49" s="4">
        <v>4</v>
      </c>
      <c r="L49" s="4">
        <v>217.28</v>
      </c>
      <c r="M49" s="4">
        <v>869.12</v>
      </c>
      <c r="N49" s="2" t="s">
        <v>43</v>
      </c>
    </row>
    <row r="50" spans="1:14" ht="15" x14ac:dyDescent="0.25">
      <c r="A50" s="2" t="s">
        <v>98</v>
      </c>
      <c r="B50" s="2" t="s">
        <v>41</v>
      </c>
      <c r="C50" s="2" t="s">
        <v>37</v>
      </c>
      <c r="D50" s="2" t="s">
        <v>35</v>
      </c>
      <c r="E50" s="3">
        <v>45056</v>
      </c>
      <c r="F50" s="3">
        <v>45060</v>
      </c>
      <c r="G50" s="4">
        <v>693</v>
      </c>
      <c r="H50" s="4">
        <v>4</v>
      </c>
      <c r="I50" s="2" t="s">
        <v>63</v>
      </c>
      <c r="J50" s="2" t="s">
        <v>57</v>
      </c>
      <c r="K50" s="4">
        <v>4</v>
      </c>
      <c r="L50" s="4">
        <v>50.61</v>
      </c>
      <c r="M50" s="4">
        <v>202.44</v>
      </c>
      <c r="N50" s="2" t="s">
        <v>26</v>
      </c>
    </row>
    <row r="51" spans="1:14" ht="15" x14ac:dyDescent="0.25">
      <c r="A51" s="2" t="s">
        <v>99</v>
      </c>
      <c r="B51" s="2" t="s">
        <v>75</v>
      </c>
      <c r="C51" s="2" t="s">
        <v>34</v>
      </c>
      <c r="D51" s="2" t="s">
        <v>47</v>
      </c>
      <c r="E51" s="3">
        <v>45163</v>
      </c>
      <c r="F51" s="3">
        <v>45168</v>
      </c>
      <c r="G51" s="4">
        <v>258</v>
      </c>
      <c r="H51" s="4">
        <v>5</v>
      </c>
      <c r="I51" s="2" t="s">
        <v>51</v>
      </c>
      <c r="J51" s="2" t="s">
        <v>57</v>
      </c>
      <c r="K51" s="4">
        <v>1</v>
      </c>
      <c r="L51" s="4">
        <v>184.91</v>
      </c>
      <c r="M51" s="4">
        <v>184.91</v>
      </c>
      <c r="N51" s="2" t="s">
        <v>31</v>
      </c>
    </row>
    <row r="52" spans="1:14" ht="15" x14ac:dyDescent="0.25">
      <c r="A52" s="2" t="s">
        <v>100</v>
      </c>
      <c r="B52" s="2" t="s">
        <v>28</v>
      </c>
      <c r="C52" s="2" t="s">
        <v>34</v>
      </c>
      <c r="D52" s="2" t="s">
        <v>35</v>
      </c>
      <c r="E52" s="3">
        <v>45102</v>
      </c>
      <c r="F52" s="3">
        <v>45106</v>
      </c>
      <c r="G52" s="4">
        <v>287</v>
      </c>
      <c r="H52" s="4">
        <v>4</v>
      </c>
      <c r="I52" s="2" t="s">
        <v>18</v>
      </c>
      <c r="J52" s="2" t="s">
        <v>57</v>
      </c>
      <c r="K52" s="4">
        <v>1</v>
      </c>
      <c r="L52" s="4">
        <v>340.91</v>
      </c>
      <c r="M52" s="4">
        <v>340.91</v>
      </c>
      <c r="N52" s="2" t="s">
        <v>43</v>
      </c>
    </row>
    <row r="53" spans="1:14" ht="15" x14ac:dyDescent="0.25">
      <c r="A53" s="2" t="s">
        <v>101</v>
      </c>
      <c r="B53" s="2" t="s">
        <v>22</v>
      </c>
      <c r="C53" s="2" t="s">
        <v>37</v>
      </c>
      <c r="D53" s="2" t="s">
        <v>47</v>
      </c>
      <c r="E53" s="3">
        <v>45140</v>
      </c>
      <c r="F53" s="3">
        <v>45144</v>
      </c>
      <c r="G53" s="4">
        <v>159</v>
      </c>
      <c r="H53" s="4">
        <v>4</v>
      </c>
      <c r="I53" s="2" t="s">
        <v>63</v>
      </c>
      <c r="J53" s="2" t="s">
        <v>39</v>
      </c>
      <c r="K53" s="4">
        <v>4</v>
      </c>
      <c r="L53" s="4">
        <v>488.39</v>
      </c>
      <c r="M53" s="4">
        <v>1953.56</v>
      </c>
      <c r="N53" s="2" t="s">
        <v>31</v>
      </c>
    </row>
    <row r="54" spans="1:14" ht="15" x14ac:dyDescent="0.25">
      <c r="A54" s="2" t="s">
        <v>102</v>
      </c>
      <c r="B54" s="2" t="s">
        <v>15</v>
      </c>
      <c r="C54" s="2" t="s">
        <v>37</v>
      </c>
      <c r="D54" s="2" t="s">
        <v>54</v>
      </c>
      <c r="E54" s="3">
        <v>45195</v>
      </c>
      <c r="F54" s="3">
        <v>45203</v>
      </c>
      <c r="G54" s="4">
        <v>916</v>
      </c>
      <c r="H54" s="4">
        <v>8</v>
      </c>
      <c r="I54" s="2" t="s">
        <v>51</v>
      </c>
      <c r="J54" s="2" t="s">
        <v>39</v>
      </c>
      <c r="K54" s="4">
        <v>2</v>
      </c>
      <c r="L54" s="4">
        <v>431.18</v>
      </c>
      <c r="M54" s="4">
        <v>862.36</v>
      </c>
      <c r="N54" s="2" t="s">
        <v>26</v>
      </c>
    </row>
    <row r="55" spans="1:14" ht="15" x14ac:dyDescent="0.25">
      <c r="A55" s="2" t="s">
        <v>103</v>
      </c>
      <c r="B55" s="2" t="s">
        <v>41</v>
      </c>
      <c r="C55" s="2" t="s">
        <v>29</v>
      </c>
      <c r="D55" s="2" t="s">
        <v>35</v>
      </c>
      <c r="E55" s="3">
        <v>45130</v>
      </c>
      <c r="F55" s="3">
        <v>45132</v>
      </c>
      <c r="G55" s="4">
        <v>418</v>
      </c>
      <c r="H55" s="4">
        <v>2</v>
      </c>
      <c r="I55" s="2" t="s">
        <v>55</v>
      </c>
      <c r="J55" s="2" t="s">
        <v>25</v>
      </c>
      <c r="K55" s="4">
        <v>3</v>
      </c>
      <c r="L55" s="4">
        <v>60.62</v>
      </c>
      <c r="M55" s="4">
        <v>181.86</v>
      </c>
      <c r="N55" s="2" t="s">
        <v>26</v>
      </c>
    </row>
    <row r="56" spans="1:14" ht="15" x14ac:dyDescent="0.25">
      <c r="A56" s="2" t="s">
        <v>104</v>
      </c>
      <c r="B56" s="2" t="s">
        <v>41</v>
      </c>
      <c r="C56" s="2" t="s">
        <v>37</v>
      </c>
      <c r="D56" s="2" t="s">
        <v>17</v>
      </c>
      <c r="E56" s="3">
        <v>45141</v>
      </c>
      <c r="F56" s="3">
        <v>45142</v>
      </c>
      <c r="G56" s="4">
        <v>977</v>
      </c>
      <c r="H56" s="4">
        <v>1</v>
      </c>
      <c r="I56" s="2" t="s">
        <v>42</v>
      </c>
      <c r="J56" s="2" t="s">
        <v>39</v>
      </c>
      <c r="K56" s="4">
        <v>3</v>
      </c>
      <c r="L56" s="4">
        <v>454.35</v>
      </c>
      <c r="M56" s="4">
        <v>1363.05</v>
      </c>
      <c r="N56" s="2" t="s">
        <v>43</v>
      </c>
    </row>
    <row r="57" spans="1:14" ht="15" x14ac:dyDescent="0.25">
      <c r="A57" s="2" t="s">
        <v>105</v>
      </c>
      <c r="B57" s="2" t="s">
        <v>75</v>
      </c>
      <c r="C57" s="2" t="s">
        <v>37</v>
      </c>
      <c r="D57" s="2" t="s">
        <v>54</v>
      </c>
      <c r="E57" s="3">
        <v>45133</v>
      </c>
      <c r="F57" s="3">
        <v>45136</v>
      </c>
      <c r="G57" s="4">
        <v>310</v>
      </c>
      <c r="H57" s="4">
        <v>3</v>
      </c>
      <c r="I57" s="2" t="s">
        <v>30</v>
      </c>
      <c r="J57" s="2" t="s">
        <v>25</v>
      </c>
      <c r="K57" s="4">
        <v>1</v>
      </c>
      <c r="L57" s="4">
        <v>402.44</v>
      </c>
      <c r="M57" s="4">
        <v>402.44</v>
      </c>
      <c r="N57" s="2" t="s">
        <v>31</v>
      </c>
    </row>
    <row r="58" spans="1:14" ht="15" x14ac:dyDescent="0.25">
      <c r="A58" s="2" t="s">
        <v>106</v>
      </c>
      <c r="B58" s="2" t="s">
        <v>22</v>
      </c>
      <c r="C58" s="2" t="s">
        <v>16</v>
      </c>
      <c r="D58" s="2" t="s">
        <v>23</v>
      </c>
      <c r="E58" s="3">
        <v>45065</v>
      </c>
      <c r="F58" s="3">
        <v>45074</v>
      </c>
      <c r="G58" s="4">
        <v>505</v>
      </c>
      <c r="H58" s="4">
        <v>9</v>
      </c>
      <c r="I58" s="2" t="s">
        <v>63</v>
      </c>
      <c r="J58" s="2" t="s">
        <v>19</v>
      </c>
      <c r="K58" s="4">
        <v>3</v>
      </c>
      <c r="L58" s="4">
        <v>401.17</v>
      </c>
      <c r="M58" s="4">
        <v>1203.51</v>
      </c>
      <c r="N58" s="2" t="s">
        <v>43</v>
      </c>
    </row>
    <row r="59" spans="1:14" ht="15" x14ac:dyDescent="0.25">
      <c r="A59" s="2" t="s">
        <v>107</v>
      </c>
      <c r="B59" s="2" t="s">
        <v>33</v>
      </c>
      <c r="C59" s="2" t="s">
        <v>46</v>
      </c>
      <c r="D59" s="2" t="s">
        <v>35</v>
      </c>
      <c r="E59" s="3">
        <v>45050</v>
      </c>
      <c r="F59" s="3">
        <v>45054</v>
      </c>
      <c r="G59" s="4">
        <v>763</v>
      </c>
      <c r="H59" s="4">
        <v>4</v>
      </c>
      <c r="I59" s="2" t="s">
        <v>24</v>
      </c>
      <c r="J59" s="2" t="s">
        <v>49</v>
      </c>
      <c r="K59" s="4">
        <v>2</v>
      </c>
      <c r="L59" s="4">
        <v>256.10000000000002</v>
      </c>
      <c r="M59" s="4">
        <v>512.20000000000005</v>
      </c>
      <c r="N59" s="2" t="s">
        <v>20</v>
      </c>
    </row>
    <row r="60" spans="1:14" ht="15" x14ac:dyDescent="0.25">
      <c r="A60" s="2" t="s">
        <v>108</v>
      </c>
      <c r="B60" s="2" t="s">
        <v>53</v>
      </c>
      <c r="C60" s="2" t="s">
        <v>34</v>
      </c>
      <c r="D60" s="2" t="s">
        <v>17</v>
      </c>
      <c r="E60" s="3">
        <v>45255</v>
      </c>
      <c r="F60" s="3">
        <v>45260</v>
      </c>
      <c r="G60" s="4">
        <v>208</v>
      </c>
      <c r="H60" s="4">
        <v>5</v>
      </c>
      <c r="I60" s="2" t="s">
        <v>18</v>
      </c>
      <c r="J60" s="2" t="s">
        <v>19</v>
      </c>
      <c r="K60" s="4">
        <v>3</v>
      </c>
      <c r="L60" s="4">
        <v>229.1</v>
      </c>
      <c r="M60" s="4">
        <v>687.3</v>
      </c>
      <c r="N60" s="2" t="s">
        <v>31</v>
      </c>
    </row>
    <row r="61" spans="1:14" ht="15" x14ac:dyDescent="0.25">
      <c r="A61" s="2" t="s">
        <v>109</v>
      </c>
      <c r="B61" s="2" t="s">
        <v>33</v>
      </c>
      <c r="C61" s="2" t="s">
        <v>76</v>
      </c>
      <c r="D61" s="2" t="s">
        <v>47</v>
      </c>
      <c r="E61" s="3">
        <v>45148</v>
      </c>
      <c r="F61" s="3">
        <v>45150</v>
      </c>
      <c r="G61" s="4">
        <v>175</v>
      </c>
      <c r="H61" s="4">
        <v>2</v>
      </c>
      <c r="I61" s="2" t="s">
        <v>30</v>
      </c>
      <c r="J61" s="2" t="s">
        <v>25</v>
      </c>
      <c r="K61" s="4">
        <v>1</v>
      </c>
      <c r="L61" s="4">
        <v>186.31</v>
      </c>
      <c r="M61" s="4">
        <v>186.31</v>
      </c>
      <c r="N61" s="2" t="s">
        <v>20</v>
      </c>
    </row>
    <row r="62" spans="1:14" ht="15" x14ac:dyDescent="0.25">
      <c r="A62" s="2" t="s">
        <v>110</v>
      </c>
      <c r="B62" s="2" t="s">
        <v>22</v>
      </c>
      <c r="C62" s="2" t="s">
        <v>29</v>
      </c>
      <c r="D62" s="2" t="s">
        <v>47</v>
      </c>
      <c r="E62" s="3">
        <v>45016</v>
      </c>
      <c r="F62" s="3">
        <v>45020</v>
      </c>
      <c r="G62" s="4">
        <v>641</v>
      </c>
      <c r="H62" s="4">
        <v>4</v>
      </c>
      <c r="I62" s="2" t="s">
        <v>55</v>
      </c>
      <c r="J62" s="2" t="s">
        <v>57</v>
      </c>
      <c r="K62" s="4">
        <v>1</v>
      </c>
      <c r="L62" s="4">
        <v>79.56</v>
      </c>
      <c r="M62" s="4">
        <v>79.56</v>
      </c>
      <c r="N62" s="2" t="s">
        <v>20</v>
      </c>
    </row>
    <row r="63" spans="1:14" ht="15" x14ac:dyDescent="0.25">
      <c r="A63" s="2" t="s">
        <v>111</v>
      </c>
      <c r="B63" s="2" t="s">
        <v>41</v>
      </c>
      <c r="C63" s="2" t="s">
        <v>29</v>
      </c>
      <c r="D63" s="2" t="s">
        <v>47</v>
      </c>
      <c r="E63" s="3">
        <v>45108</v>
      </c>
      <c r="F63" s="3">
        <v>45110</v>
      </c>
      <c r="G63" s="4">
        <v>413</v>
      </c>
      <c r="H63" s="4">
        <v>2</v>
      </c>
      <c r="I63" s="2" t="s">
        <v>24</v>
      </c>
      <c r="J63" s="2" t="s">
        <v>49</v>
      </c>
      <c r="K63" s="4">
        <v>2</v>
      </c>
      <c r="L63" s="4">
        <v>152.71</v>
      </c>
      <c r="M63" s="4">
        <v>305.42</v>
      </c>
      <c r="N63" s="2" t="s">
        <v>20</v>
      </c>
    </row>
    <row r="64" spans="1:14" ht="15" x14ac:dyDescent="0.25">
      <c r="A64" s="2" t="s">
        <v>112</v>
      </c>
      <c r="B64" s="2" t="s">
        <v>75</v>
      </c>
      <c r="C64" s="2" t="s">
        <v>34</v>
      </c>
      <c r="D64" s="2" t="s">
        <v>23</v>
      </c>
      <c r="E64" s="3">
        <v>45047</v>
      </c>
      <c r="F64" s="3">
        <v>45049</v>
      </c>
      <c r="G64" s="4">
        <v>216</v>
      </c>
      <c r="H64" s="4">
        <v>2</v>
      </c>
      <c r="I64" s="2" t="s">
        <v>51</v>
      </c>
      <c r="J64" s="2" t="s">
        <v>25</v>
      </c>
      <c r="K64" s="4">
        <v>2</v>
      </c>
      <c r="L64" s="4">
        <v>160.97</v>
      </c>
      <c r="M64" s="4">
        <v>321.94</v>
      </c>
      <c r="N64" s="2" t="s">
        <v>20</v>
      </c>
    </row>
    <row r="65" spans="1:14" ht="15" x14ac:dyDescent="0.25">
      <c r="A65" s="2" t="s">
        <v>113</v>
      </c>
      <c r="B65" s="2" t="s">
        <v>41</v>
      </c>
      <c r="C65" s="2" t="s">
        <v>34</v>
      </c>
      <c r="D65" s="2" t="s">
        <v>17</v>
      </c>
      <c r="E65" s="3">
        <v>45267</v>
      </c>
      <c r="F65" s="3">
        <v>45271</v>
      </c>
      <c r="G65" s="4">
        <v>967</v>
      </c>
      <c r="H65" s="4">
        <v>4</v>
      </c>
      <c r="I65" s="2" t="s">
        <v>24</v>
      </c>
      <c r="J65" s="2" t="s">
        <v>19</v>
      </c>
      <c r="K65" s="4">
        <v>3</v>
      </c>
      <c r="L65" s="4">
        <v>267.83</v>
      </c>
      <c r="M65" s="4">
        <v>803.49</v>
      </c>
      <c r="N65" s="2" t="s">
        <v>43</v>
      </c>
    </row>
    <row r="66" spans="1:14" ht="15" x14ac:dyDescent="0.25">
      <c r="A66" s="2" t="s">
        <v>114</v>
      </c>
      <c r="B66" s="2" t="s">
        <v>28</v>
      </c>
      <c r="C66" s="2" t="s">
        <v>46</v>
      </c>
      <c r="D66" s="2" t="s">
        <v>54</v>
      </c>
      <c r="E66" s="3">
        <v>44929</v>
      </c>
      <c r="F66" s="3">
        <v>44935</v>
      </c>
      <c r="G66" s="4">
        <v>803</v>
      </c>
      <c r="H66" s="4">
        <v>6</v>
      </c>
      <c r="I66" s="2" t="s">
        <v>24</v>
      </c>
      <c r="J66" s="2" t="s">
        <v>19</v>
      </c>
      <c r="K66" s="4">
        <v>3</v>
      </c>
      <c r="L66" s="4">
        <v>386.35</v>
      </c>
      <c r="M66" s="4">
        <v>1159.05</v>
      </c>
      <c r="N66" s="2" t="s">
        <v>20</v>
      </c>
    </row>
    <row r="67" spans="1:14" ht="15" x14ac:dyDescent="0.25">
      <c r="A67" s="2" t="s">
        <v>115</v>
      </c>
      <c r="B67" s="2" t="s">
        <v>33</v>
      </c>
      <c r="C67" s="2" t="s">
        <v>37</v>
      </c>
      <c r="D67" s="2" t="s">
        <v>23</v>
      </c>
      <c r="E67" s="3">
        <v>45009</v>
      </c>
      <c r="F67" s="3">
        <v>45016</v>
      </c>
      <c r="G67" s="4">
        <v>118</v>
      </c>
      <c r="H67" s="4">
        <v>7</v>
      </c>
      <c r="I67" s="2" t="s">
        <v>42</v>
      </c>
      <c r="J67" s="2" t="s">
        <v>49</v>
      </c>
      <c r="K67" s="4">
        <v>1</v>
      </c>
      <c r="L67" s="4">
        <v>263.20999999999998</v>
      </c>
      <c r="M67" s="4">
        <v>263.20999999999998</v>
      </c>
      <c r="N67" s="2" t="s">
        <v>43</v>
      </c>
    </row>
    <row r="68" spans="1:14" ht="15" x14ac:dyDescent="0.25">
      <c r="A68" s="2" t="s">
        <v>116</v>
      </c>
      <c r="B68" s="2" t="s">
        <v>53</v>
      </c>
      <c r="C68" s="2" t="s">
        <v>34</v>
      </c>
      <c r="D68" s="2" t="s">
        <v>47</v>
      </c>
      <c r="E68" s="3">
        <v>45060</v>
      </c>
      <c r="F68" s="3">
        <v>45063</v>
      </c>
      <c r="G68" s="4">
        <v>531</v>
      </c>
      <c r="H68" s="4">
        <v>3</v>
      </c>
      <c r="I68" s="2" t="s">
        <v>51</v>
      </c>
      <c r="J68" s="2" t="s">
        <v>39</v>
      </c>
      <c r="K68" s="4">
        <v>2</v>
      </c>
      <c r="L68" s="4">
        <v>76.03</v>
      </c>
      <c r="M68" s="4">
        <v>152.06</v>
      </c>
      <c r="N68" s="2" t="s">
        <v>20</v>
      </c>
    </row>
    <row r="69" spans="1:14" ht="15" x14ac:dyDescent="0.25">
      <c r="A69" s="2" t="s">
        <v>117</v>
      </c>
      <c r="B69" s="2" t="s">
        <v>53</v>
      </c>
      <c r="C69" s="2" t="s">
        <v>37</v>
      </c>
      <c r="D69" s="2" t="s">
        <v>23</v>
      </c>
      <c r="E69" s="3">
        <v>45105</v>
      </c>
      <c r="F69" s="3">
        <v>45108</v>
      </c>
      <c r="G69" s="4">
        <v>784</v>
      </c>
      <c r="H69" s="4">
        <v>3</v>
      </c>
      <c r="I69" s="2" t="s">
        <v>30</v>
      </c>
      <c r="J69" s="2" t="s">
        <v>25</v>
      </c>
      <c r="K69" s="4">
        <v>2</v>
      </c>
      <c r="L69" s="4">
        <v>481.01</v>
      </c>
      <c r="M69" s="4">
        <v>962.02</v>
      </c>
      <c r="N69" s="2" t="s">
        <v>20</v>
      </c>
    </row>
    <row r="70" spans="1:14" ht="15" x14ac:dyDescent="0.25">
      <c r="A70" s="2" t="s">
        <v>118</v>
      </c>
      <c r="B70" s="2" t="s">
        <v>33</v>
      </c>
      <c r="C70" s="2" t="s">
        <v>46</v>
      </c>
      <c r="D70" s="2" t="s">
        <v>23</v>
      </c>
      <c r="E70" s="3">
        <v>45237</v>
      </c>
      <c r="F70" s="3">
        <v>45243</v>
      </c>
      <c r="G70" s="4">
        <v>839</v>
      </c>
      <c r="H70" s="4">
        <v>6</v>
      </c>
      <c r="I70" s="2" t="s">
        <v>24</v>
      </c>
      <c r="J70" s="2" t="s">
        <v>25</v>
      </c>
      <c r="K70" s="4">
        <v>2</v>
      </c>
      <c r="L70" s="4">
        <v>474.23</v>
      </c>
      <c r="M70" s="4">
        <v>948.46</v>
      </c>
      <c r="N70" s="2" t="s">
        <v>26</v>
      </c>
    </row>
    <row r="71" spans="1:14" ht="15" x14ac:dyDescent="0.25">
      <c r="A71" s="2" t="s">
        <v>119</v>
      </c>
      <c r="B71" s="2" t="s">
        <v>41</v>
      </c>
      <c r="C71" s="2" t="s">
        <v>34</v>
      </c>
      <c r="D71" s="2" t="s">
        <v>23</v>
      </c>
      <c r="E71" s="3">
        <v>44959</v>
      </c>
      <c r="F71" s="3">
        <v>44962</v>
      </c>
      <c r="G71" s="4">
        <v>449</v>
      </c>
      <c r="H71" s="4">
        <v>3</v>
      </c>
      <c r="I71" s="2" t="s">
        <v>63</v>
      </c>
      <c r="J71" s="2" t="s">
        <v>25</v>
      </c>
      <c r="K71" s="4">
        <v>3</v>
      </c>
      <c r="L71" s="4">
        <v>403.34</v>
      </c>
      <c r="M71" s="4">
        <v>1210.02</v>
      </c>
      <c r="N71" s="2" t="s">
        <v>31</v>
      </c>
    </row>
    <row r="72" spans="1:14" ht="15" x14ac:dyDescent="0.25">
      <c r="A72" s="2" t="s">
        <v>120</v>
      </c>
      <c r="B72" s="2" t="s">
        <v>33</v>
      </c>
      <c r="C72" s="2" t="s">
        <v>34</v>
      </c>
      <c r="D72" s="2" t="s">
        <v>35</v>
      </c>
      <c r="E72" s="3">
        <v>45221</v>
      </c>
      <c r="F72" s="3">
        <v>45223</v>
      </c>
      <c r="G72" s="4">
        <v>282</v>
      </c>
      <c r="H72" s="4">
        <v>2</v>
      </c>
      <c r="I72" s="2" t="s">
        <v>55</v>
      </c>
      <c r="J72" s="2" t="s">
        <v>49</v>
      </c>
      <c r="K72" s="4">
        <v>2</v>
      </c>
      <c r="L72" s="4">
        <v>496.1</v>
      </c>
      <c r="M72" s="4">
        <v>992.2</v>
      </c>
      <c r="N72" s="2" t="s">
        <v>43</v>
      </c>
    </row>
    <row r="73" spans="1:14" ht="15" x14ac:dyDescent="0.25">
      <c r="A73" s="2" t="s">
        <v>121</v>
      </c>
      <c r="B73" s="2" t="s">
        <v>45</v>
      </c>
      <c r="C73" s="2" t="s">
        <v>37</v>
      </c>
      <c r="D73" s="2" t="s">
        <v>47</v>
      </c>
      <c r="E73" s="3">
        <v>44947</v>
      </c>
      <c r="F73" s="3">
        <v>44955</v>
      </c>
      <c r="G73" s="4">
        <v>212</v>
      </c>
      <c r="H73" s="4">
        <v>8</v>
      </c>
      <c r="I73" s="2" t="s">
        <v>63</v>
      </c>
      <c r="J73" s="2" t="s">
        <v>39</v>
      </c>
      <c r="K73" s="4">
        <v>1</v>
      </c>
      <c r="L73" s="4">
        <v>295.02</v>
      </c>
      <c r="M73" s="4">
        <v>295.02</v>
      </c>
      <c r="N73" s="2" t="s">
        <v>20</v>
      </c>
    </row>
    <row r="74" spans="1:14" ht="15" x14ac:dyDescent="0.25">
      <c r="A74" s="2" t="s">
        <v>122</v>
      </c>
      <c r="B74" s="2" t="s">
        <v>45</v>
      </c>
      <c r="C74" s="2" t="s">
        <v>37</v>
      </c>
      <c r="D74" s="2" t="s">
        <v>23</v>
      </c>
      <c r="E74" s="3">
        <v>45234</v>
      </c>
      <c r="F74" s="3">
        <v>45239</v>
      </c>
      <c r="G74" s="4">
        <v>282</v>
      </c>
      <c r="H74" s="4">
        <v>5</v>
      </c>
      <c r="I74" s="2" t="s">
        <v>18</v>
      </c>
      <c r="J74" s="2" t="s">
        <v>39</v>
      </c>
      <c r="K74" s="4">
        <v>1</v>
      </c>
      <c r="L74" s="4">
        <v>483.25</v>
      </c>
      <c r="M74" s="4">
        <v>483.25</v>
      </c>
      <c r="N74" s="2" t="s">
        <v>43</v>
      </c>
    </row>
    <row r="75" spans="1:14" ht="15" x14ac:dyDescent="0.25">
      <c r="A75" s="2" t="s">
        <v>123</v>
      </c>
      <c r="B75" s="2" t="s">
        <v>33</v>
      </c>
      <c r="C75" s="2" t="s">
        <v>37</v>
      </c>
      <c r="D75" s="2" t="s">
        <v>35</v>
      </c>
      <c r="E75" s="3">
        <v>44945</v>
      </c>
      <c r="F75" s="3">
        <v>44946</v>
      </c>
      <c r="G75" s="4">
        <v>580</v>
      </c>
      <c r="H75" s="4">
        <v>1</v>
      </c>
      <c r="I75" s="2" t="s">
        <v>42</v>
      </c>
      <c r="J75" s="2" t="s">
        <v>39</v>
      </c>
      <c r="K75" s="4">
        <v>3</v>
      </c>
      <c r="L75" s="4">
        <v>84.02</v>
      </c>
      <c r="M75" s="4">
        <v>252.06</v>
      </c>
      <c r="N75" s="2" t="s">
        <v>43</v>
      </c>
    </row>
    <row r="76" spans="1:14" ht="15" x14ac:dyDescent="0.25">
      <c r="A76" s="2" t="s">
        <v>124</v>
      </c>
      <c r="B76" s="2" t="s">
        <v>15</v>
      </c>
      <c r="C76" s="2" t="s">
        <v>46</v>
      </c>
      <c r="D76" s="2" t="s">
        <v>47</v>
      </c>
      <c r="E76" s="3">
        <v>44933</v>
      </c>
      <c r="F76" s="3">
        <v>44936</v>
      </c>
      <c r="G76" s="4">
        <v>245</v>
      </c>
      <c r="H76" s="4">
        <v>3</v>
      </c>
      <c r="I76" s="2" t="s">
        <v>55</v>
      </c>
      <c r="J76" s="2" t="s">
        <v>25</v>
      </c>
      <c r="K76" s="4">
        <v>4</v>
      </c>
      <c r="L76" s="4">
        <v>214.56</v>
      </c>
      <c r="M76" s="4">
        <v>858.24</v>
      </c>
      <c r="N76" s="2" t="s">
        <v>31</v>
      </c>
    </row>
    <row r="77" spans="1:14" ht="15" x14ac:dyDescent="0.25">
      <c r="A77" s="2" t="s">
        <v>125</v>
      </c>
      <c r="B77" s="2" t="s">
        <v>22</v>
      </c>
      <c r="C77" s="2" t="s">
        <v>37</v>
      </c>
      <c r="D77" s="2" t="s">
        <v>47</v>
      </c>
      <c r="E77" s="3">
        <v>45181</v>
      </c>
      <c r="F77" s="3">
        <v>45189</v>
      </c>
      <c r="G77" s="4">
        <v>930</v>
      </c>
      <c r="H77" s="4">
        <v>8</v>
      </c>
      <c r="I77" s="2" t="s">
        <v>51</v>
      </c>
      <c r="J77" s="2" t="s">
        <v>39</v>
      </c>
      <c r="K77" s="4">
        <v>3</v>
      </c>
      <c r="L77" s="4">
        <v>151.41999999999999</v>
      </c>
      <c r="M77" s="4">
        <v>454.26</v>
      </c>
      <c r="N77" s="2" t="s">
        <v>26</v>
      </c>
    </row>
    <row r="78" spans="1:14" ht="15" x14ac:dyDescent="0.25">
      <c r="A78" s="2" t="s">
        <v>126</v>
      </c>
      <c r="B78" s="2" t="s">
        <v>33</v>
      </c>
      <c r="C78" s="2" t="s">
        <v>37</v>
      </c>
      <c r="D78" s="2" t="s">
        <v>47</v>
      </c>
      <c r="E78" s="3">
        <v>45290</v>
      </c>
      <c r="F78" s="3">
        <v>45294</v>
      </c>
      <c r="G78" s="4">
        <v>727</v>
      </c>
      <c r="H78" s="4">
        <v>4</v>
      </c>
      <c r="I78" s="2" t="s">
        <v>51</v>
      </c>
      <c r="J78" s="2" t="s">
        <v>19</v>
      </c>
      <c r="K78" s="4">
        <v>4</v>
      </c>
      <c r="L78" s="4">
        <v>138.12</v>
      </c>
      <c r="M78" s="4">
        <v>552.48</v>
      </c>
      <c r="N78" s="2" t="s">
        <v>43</v>
      </c>
    </row>
    <row r="79" spans="1:14" ht="15" x14ac:dyDescent="0.25">
      <c r="A79" s="2" t="s">
        <v>127</v>
      </c>
      <c r="B79" s="2" t="s">
        <v>41</v>
      </c>
      <c r="C79" s="2" t="s">
        <v>37</v>
      </c>
      <c r="D79" s="2" t="s">
        <v>23</v>
      </c>
      <c r="E79" s="3">
        <v>45254</v>
      </c>
      <c r="F79" s="3">
        <v>45261</v>
      </c>
      <c r="G79" s="4">
        <v>212</v>
      </c>
      <c r="H79" s="4">
        <v>7</v>
      </c>
      <c r="I79" s="2" t="s">
        <v>42</v>
      </c>
      <c r="J79" s="2" t="s">
        <v>39</v>
      </c>
      <c r="K79" s="4">
        <v>2</v>
      </c>
      <c r="L79" s="4">
        <v>113.36</v>
      </c>
      <c r="M79" s="4">
        <v>226.72</v>
      </c>
      <c r="N79" s="2" t="s">
        <v>43</v>
      </c>
    </row>
    <row r="80" spans="1:14" ht="15" x14ac:dyDescent="0.25">
      <c r="A80" s="2" t="s">
        <v>128</v>
      </c>
      <c r="B80" s="2" t="s">
        <v>75</v>
      </c>
      <c r="C80" s="2" t="s">
        <v>34</v>
      </c>
      <c r="D80" s="2" t="s">
        <v>35</v>
      </c>
      <c r="E80" s="3">
        <v>45137</v>
      </c>
      <c r="F80" s="3">
        <v>45139</v>
      </c>
      <c r="G80" s="4">
        <v>862</v>
      </c>
      <c r="H80" s="4">
        <v>2</v>
      </c>
      <c r="I80" s="2" t="s">
        <v>55</v>
      </c>
      <c r="J80" s="2" t="s">
        <v>25</v>
      </c>
      <c r="K80" s="4">
        <v>3</v>
      </c>
      <c r="L80" s="4">
        <v>330.09</v>
      </c>
      <c r="M80" s="4">
        <v>990.27</v>
      </c>
      <c r="N80" s="2" t="s">
        <v>20</v>
      </c>
    </row>
    <row r="81" spans="1:14" ht="15" x14ac:dyDescent="0.25">
      <c r="A81" s="2" t="s">
        <v>129</v>
      </c>
      <c r="B81" s="2" t="s">
        <v>75</v>
      </c>
      <c r="C81" s="2" t="s">
        <v>37</v>
      </c>
      <c r="D81" s="2" t="s">
        <v>54</v>
      </c>
      <c r="E81" s="3">
        <v>45261</v>
      </c>
      <c r="F81" s="3">
        <v>45268</v>
      </c>
      <c r="G81" s="4">
        <v>575</v>
      </c>
      <c r="H81" s="4">
        <v>7</v>
      </c>
      <c r="I81" s="2" t="s">
        <v>42</v>
      </c>
      <c r="J81" s="2" t="s">
        <v>25</v>
      </c>
      <c r="K81" s="4">
        <v>1</v>
      </c>
      <c r="L81" s="4">
        <v>401.59</v>
      </c>
      <c r="M81" s="4">
        <v>401.59</v>
      </c>
      <c r="N81" s="2" t="s">
        <v>43</v>
      </c>
    </row>
    <row r="82" spans="1:14" ht="15" x14ac:dyDescent="0.25">
      <c r="A82" s="2" t="s">
        <v>130</v>
      </c>
      <c r="B82" s="2" t="s">
        <v>53</v>
      </c>
      <c r="C82" s="2" t="s">
        <v>46</v>
      </c>
      <c r="D82" s="2" t="s">
        <v>54</v>
      </c>
      <c r="E82" s="3">
        <v>44928</v>
      </c>
      <c r="F82" s="3">
        <v>44933</v>
      </c>
      <c r="G82" s="4">
        <v>862</v>
      </c>
      <c r="H82" s="4">
        <v>5</v>
      </c>
      <c r="I82" s="2" t="s">
        <v>30</v>
      </c>
      <c r="J82" s="2" t="s">
        <v>49</v>
      </c>
      <c r="K82" s="4">
        <v>2</v>
      </c>
      <c r="L82" s="4">
        <v>310.23</v>
      </c>
      <c r="M82" s="4">
        <v>620.46</v>
      </c>
      <c r="N82" s="2" t="s">
        <v>43</v>
      </c>
    </row>
    <row r="83" spans="1:14" ht="15" x14ac:dyDescent="0.25">
      <c r="A83" s="2" t="s">
        <v>131</v>
      </c>
      <c r="B83" s="2" t="s">
        <v>53</v>
      </c>
      <c r="C83" s="2" t="s">
        <v>29</v>
      </c>
      <c r="D83" s="2" t="s">
        <v>23</v>
      </c>
      <c r="E83" s="3">
        <v>45282</v>
      </c>
      <c r="F83" s="3">
        <v>45287</v>
      </c>
      <c r="G83" s="4">
        <v>402</v>
      </c>
      <c r="H83" s="4">
        <v>5</v>
      </c>
      <c r="I83" s="2" t="s">
        <v>51</v>
      </c>
      <c r="J83" s="2" t="s">
        <v>39</v>
      </c>
      <c r="K83" s="4">
        <v>1</v>
      </c>
      <c r="L83" s="4">
        <v>116.13</v>
      </c>
      <c r="M83" s="4">
        <v>116.13</v>
      </c>
      <c r="N83" s="2" t="s">
        <v>43</v>
      </c>
    </row>
    <row r="84" spans="1:14" ht="15" x14ac:dyDescent="0.25">
      <c r="A84" s="2" t="s">
        <v>132</v>
      </c>
      <c r="B84" s="2" t="s">
        <v>41</v>
      </c>
      <c r="C84" s="2" t="s">
        <v>29</v>
      </c>
      <c r="D84" s="2" t="s">
        <v>23</v>
      </c>
      <c r="E84" s="3">
        <v>45106</v>
      </c>
      <c r="F84" s="3">
        <v>45112</v>
      </c>
      <c r="G84" s="4">
        <v>924</v>
      </c>
      <c r="H84" s="4">
        <v>6</v>
      </c>
      <c r="I84" s="2" t="s">
        <v>51</v>
      </c>
      <c r="J84" s="2" t="s">
        <v>25</v>
      </c>
      <c r="K84" s="4">
        <v>2</v>
      </c>
      <c r="L84" s="4">
        <v>415.01</v>
      </c>
      <c r="M84" s="4">
        <v>830.02</v>
      </c>
      <c r="N84" s="2" t="s">
        <v>43</v>
      </c>
    </row>
    <row r="85" spans="1:14" ht="15" x14ac:dyDescent="0.25">
      <c r="A85" s="2" t="s">
        <v>133</v>
      </c>
      <c r="B85" s="2" t="s">
        <v>53</v>
      </c>
      <c r="C85" s="2" t="s">
        <v>34</v>
      </c>
      <c r="D85" s="2" t="s">
        <v>35</v>
      </c>
      <c r="E85" s="3">
        <v>45190</v>
      </c>
      <c r="F85" s="3">
        <v>45199</v>
      </c>
      <c r="G85" s="4">
        <v>217</v>
      </c>
      <c r="H85" s="4">
        <v>9</v>
      </c>
      <c r="I85" s="2" t="s">
        <v>30</v>
      </c>
      <c r="J85" s="2" t="s">
        <v>39</v>
      </c>
      <c r="K85" s="4">
        <v>3</v>
      </c>
      <c r="L85" s="4">
        <v>336.18</v>
      </c>
      <c r="M85" s="4">
        <v>1008.54</v>
      </c>
      <c r="N85" s="2" t="s">
        <v>20</v>
      </c>
    </row>
    <row r="86" spans="1:14" ht="15" x14ac:dyDescent="0.25">
      <c r="A86" s="2" t="s">
        <v>134</v>
      </c>
      <c r="B86" s="2" t="s">
        <v>53</v>
      </c>
      <c r="C86" s="2" t="s">
        <v>37</v>
      </c>
      <c r="D86" s="2" t="s">
        <v>47</v>
      </c>
      <c r="E86" s="3">
        <v>45226</v>
      </c>
      <c r="F86" s="3">
        <v>45232</v>
      </c>
      <c r="G86" s="4">
        <v>912</v>
      </c>
      <c r="H86" s="4">
        <v>6</v>
      </c>
      <c r="I86" s="2" t="s">
        <v>18</v>
      </c>
      <c r="J86" s="2" t="s">
        <v>57</v>
      </c>
      <c r="K86" s="4">
        <v>4</v>
      </c>
      <c r="L86" s="4">
        <v>224.67</v>
      </c>
      <c r="M86" s="4">
        <v>898.68</v>
      </c>
      <c r="N86" s="2" t="s">
        <v>31</v>
      </c>
    </row>
    <row r="87" spans="1:14" ht="15" x14ac:dyDescent="0.25">
      <c r="A87" s="2" t="s">
        <v>135</v>
      </c>
      <c r="B87" s="2" t="s">
        <v>33</v>
      </c>
      <c r="C87" s="2" t="s">
        <v>29</v>
      </c>
      <c r="D87" s="2" t="s">
        <v>17</v>
      </c>
      <c r="E87" s="3">
        <v>45189</v>
      </c>
      <c r="F87" s="3">
        <v>45197</v>
      </c>
      <c r="G87" s="4">
        <v>260</v>
      </c>
      <c r="H87" s="4">
        <v>8</v>
      </c>
      <c r="I87" s="2" t="s">
        <v>18</v>
      </c>
      <c r="J87" s="2" t="s">
        <v>49</v>
      </c>
      <c r="K87" s="4">
        <v>2</v>
      </c>
      <c r="L87" s="4">
        <v>353.36</v>
      </c>
      <c r="M87" s="4">
        <v>706.72</v>
      </c>
      <c r="N87" s="2" t="s">
        <v>20</v>
      </c>
    </row>
    <row r="88" spans="1:14" ht="15" x14ac:dyDescent="0.25">
      <c r="A88" s="2" t="s">
        <v>136</v>
      </c>
      <c r="B88" s="2" t="s">
        <v>22</v>
      </c>
      <c r="C88" s="2" t="s">
        <v>34</v>
      </c>
      <c r="D88" s="2" t="s">
        <v>23</v>
      </c>
      <c r="E88" s="3">
        <v>45122</v>
      </c>
      <c r="F88" s="3">
        <v>45129</v>
      </c>
      <c r="G88" s="4">
        <v>500</v>
      </c>
      <c r="H88" s="4">
        <v>7</v>
      </c>
      <c r="I88" s="2" t="s">
        <v>30</v>
      </c>
      <c r="J88" s="2" t="s">
        <v>57</v>
      </c>
      <c r="K88" s="4">
        <v>4</v>
      </c>
      <c r="L88" s="4">
        <v>166.96</v>
      </c>
      <c r="M88" s="4">
        <v>667.84</v>
      </c>
      <c r="N88" s="2" t="s">
        <v>31</v>
      </c>
    </row>
    <row r="89" spans="1:14" ht="15" x14ac:dyDescent="0.25">
      <c r="A89" s="2" t="s">
        <v>137</v>
      </c>
      <c r="B89" s="2" t="s">
        <v>33</v>
      </c>
      <c r="C89" s="2" t="s">
        <v>34</v>
      </c>
      <c r="D89" s="2" t="s">
        <v>47</v>
      </c>
      <c r="E89" s="3">
        <v>45100</v>
      </c>
      <c r="F89" s="3">
        <v>45109</v>
      </c>
      <c r="G89" s="4">
        <v>297</v>
      </c>
      <c r="H89" s="4">
        <v>9</v>
      </c>
      <c r="I89" s="2" t="s">
        <v>63</v>
      </c>
      <c r="J89" s="2" t="s">
        <v>25</v>
      </c>
      <c r="K89" s="4">
        <v>2</v>
      </c>
      <c r="L89" s="4">
        <v>205.34</v>
      </c>
      <c r="M89" s="4">
        <v>410.68</v>
      </c>
      <c r="N89" s="2" t="s">
        <v>43</v>
      </c>
    </row>
    <row r="90" spans="1:14" ht="15" x14ac:dyDescent="0.25">
      <c r="A90" s="2" t="s">
        <v>138</v>
      </c>
      <c r="B90" s="2" t="s">
        <v>41</v>
      </c>
      <c r="C90" s="2" t="s">
        <v>29</v>
      </c>
      <c r="D90" s="2" t="s">
        <v>47</v>
      </c>
      <c r="E90" s="3">
        <v>45233</v>
      </c>
      <c r="F90" s="3">
        <v>45237</v>
      </c>
      <c r="G90" s="4">
        <v>359</v>
      </c>
      <c r="H90" s="4">
        <v>4</v>
      </c>
      <c r="I90" s="2" t="s">
        <v>55</v>
      </c>
      <c r="J90" s="2" t="s">
        <v>39</v>
      </c>
      <c r="K90" s="4">
        <v>1</v>
      </c>
      <c r="L90" s="4">
        <v>462.87</v>
      </c>
      <c r="M90" s="4">
        <v>462.87</v>
      </c>
      <c r="N90" s="2" t="s">
        <v>26</v>
      </c>
    </row>
    <row r="91" spans="1:14" ht="15" x14ac:dyDescent="0.25">
      <c r="A91" s="2" t="s">
        <v>139</v>
      </c>
      <c r="B91" s="2" t="s">
        <v>33</v>
      </c>
      <c r="C91" s="2" t="s">
        <v>34</v>
      </c>
      <c r="D91" s="2" t="s">
        <v>47</v>
      </c>
      <c r="E91" s="3">
        <v>45001</v>
      </c>
      <c r="F91" s="3">
        <v>45003</v>
      </c>
      <c r="G91" s="4">
        <v>759</v>
      </c>
      <c r="H91" s="4">
        <v>2</v>
      </c>
      <c r="I91" s="2" t="s">
        <v>30</v>
      </c>
      <c r="J91" s="2" t="s">
        <v>57</v>
      </c>
      <c r="K91" s="4">
        <v>1</v>
      </c>
      <c r="L91" s="4">
        <v>180.73</v>
      </c>
      <c r="M91" s="4">
        <v>180.73</v>
      </c>
      <c r="N91" s="2" t="s">
        <v>43</v>
      </c>
    </row>
    <row r="92" spans="1:14" ht="15" x14ac:dyDescent="0.25">
      <c r="A92" s="2" t="s">
        <v>140</v>
      </c>
      <c r="B92" s="2" t="s">
        <v>22</v>
      </c>
      <c r="C92" s="2" t="s">
        <v>34</v>
      </c>
      <c r="D92" s="2" t="s">
        <v>47</v>
      </c>
      <c r="E92" s="3">
        <v>45280</v>
      </c>
      <c r="F92" s="3">
        <v>45287</v>
      </c>
      <c r="G92" s="4">
        <v>851</v>
      </c>
      <c r="H92" s="4">
        <v>7</v>
      </c>
      <c r="I92" s="2" t="s">
        <v>51</v>
      </c>
      <c r="J92" s="2" t="s">
        <v>25</v>
      </c>
      <c r="K92" s="4">
        <v>2</v>
      </c>
      <c r="L92" s="4">
        <v>261.49</v>
      </c>
      <c r="M92" s="4">
        <v>522.98</v>
      </c>
      <c r="N92" s="2" t="s">
        <v>31</v>
      </c>
    </row>
    <row r="93" spans="1:14" ht="15" x14ac:dyDescent="0.25">
      <c r="A93" s="2" t="s">
        <v>141</v>
      </c>
      <c r="B93" s="2" t="s">
        <v>53</v>
      </c>
      <c r="C93" s="2" t="s">
        <v>16</v>
      </c>
      <c r="D93" s="2" t="s">
        <v>17</v>
      </c>
      <c r="E93" s="3">
        <v>45186</v>
      </c>
      <c r="F93" s="3">
        <v>45192</v>
      </c>
      <c r="G93" s="4">
        <v>146</v>
      </c>
      <c r="H93" s="4">
        <v>6</v>
      </c>
      <c r="I93" s="2" t="s">
        <v>30</v>
      </c>
      <c r="J93" s="2" t="s">
        <v>57</v>
      </c>
      <c r="K93" s="4">
        <v>4</v>
      </c>
      <c r="L93" s="4">
        <v>450.56</v>
      </c>
      <c r="M93" s="4">
        <v>1802.24</v>
      </c>
      <c r="N93" s="2" t="s">
        <v>43</v>
      </c>
    </row>
    <row r="94" spans="1:14" ht="15" x14ac:dyDescent="0.25">
      <c r="A94" s="2" t="s">
        <v>142</v>
      </c>
      <c r="B94" s="2" t="s">
        <v>53</v>
      </c>
      <c r="C94" s="2" t="s">
        <v>46</v>
      </c>
      <c r="D94" s="2" t="s">
        <v>35</v>
      </c>
      <c r="E94" s="3">
        <v>44999</v>
      </c>
      <c r="F94" s="3">
        <v>45000</v>
      </c>
      <c r="G94" s="4">
        <v>498</v>
      </c>
      <c r="H94" s="4">
        <v>1</v>
      </c>
      <c r="I94" s="2" t="s">
        <v>51</v>
      </c>
      <c r="J94" s="2" t="s">
        <v>39</v>
      </c>
      <c r="K94" s="4">
        <v>3</v>
      </c>
      <c r="L94" s="4">
        <v>368.47</v>
      </c>
      <c r="M94" s="4">
        <v>1105.4100000000001</v>
      </c>
      <c r="N94" s="2" t="s">
        <v>20</v>
      </c>
    </row>
    <row r="95" spans="1:14" ht="15" x14ac:dyDescent="0.25">
      <c r="A95" s="2" t="s">
        <v>143</v>
      </c>
      <c r="B95" s="2" t="s">
        <v>15</v>
      </c>
      <c r="C95" s="2" t="s">
        <v>34</v>
      </c>
      <c r="D95" s="2" t="s">
        <v>35</v>
      </c>
      <c r="E95" s="3">
        <v>45195</v>
      </c>
      <c r="F95" s="3">
        <v>45204</v>
      </c>
      <c r="G95" s="4">
        <v>809</v>
      </c>
      <c r="H95" s="4">
        <v>9</v>
      </c>
      <c r="I95" s="2" t="s">
        <v>18</v>
      </c>
      <c r="J95" s="2" t="s">
        <v>57</v>
      </c>
      <c r="K95" s="4">
        <v>3</v>
      </c>
      <c r="L95" s="4">
        <v>77.989999999999995</v>
      </c>
      <c r="M95" s="4">
        <v>233.97</v>
      </c>
      <c r="N95" s="2" t="s">
        <v>20</v>
      </c>
    </row>
    <row r="96" spans="1:14" ht="15" x14ac:dyDescent="0.25">
      <c r="A96" s="2" t="s">
        <v>144</v>
      </c>
      <c r="B96" s="2" t="s">
        <v>75</v>
      </c>
      <c r="C96" s="2" t="s">
        <v>34</v>
      </c>
      <c r="D96" s="2" t="s">
        <v>23</v>
      </c>
      <c r="E96" s="3">
        <v>45120</v>
      </c>
      <c r="F96" s="3">
        <v>45129</v>
      </c>
      <c r="G96" s="4">
        <v>658</v>
      </c>
      <c r="H96" s="4">
        <v>9</v>
      </c>
      <c r="I96" s="2" t="s">
        <v>30</v>
      </c>
      <c r="J96" s="2" t="s">
        <v>49</v>
      </c>
      <c r="K96" s="4">
        <v>1</v>
      </c>
      <c r="L96" s="4">
        <v>116.29</v>
      </c>
      <c r="M96" s="4">
        <v>116.29</v>
      </c>
      <c r="N96" s="2" t="s">
        <v>26</v>
      </c>
    </row>
    <row r="97" spans="1:14" ht="15" x14ac:dyDescent="0.25">
      <c r="A97" s="2" t="s">
        <v>145</v>
      </c>
      <c r="B97" s="2" t="s">
        <v>41</v>
      </c>
      <c r="C97" s="2" t="s">
        <v>34</v>
      </c>
      <c r="D97" s="2" t="s">
        <v>23</v>
      </c>
      <c r="E97" s="3">
        <v>45185</v>
      </c>
      <c r="F97" s="3">
        <v>45187</v>
      </c>
      <c r="G97" s="4">
        <v>177</v>
      </c>
      <c r="H97" s="4">
        <v>2</v>
      </c>
      <c r="I97" s="2" t="s">
        <v>24</v>
      </c>
      <c r="J97" s="2" t="s">
        <v>49</v>
      </c>
      <c r="K97" s="4">
        <v>3</v>
      </c>
      <c r="L97" s="4">
        <v>53.53</v>
      </c>
      <c r="M97" s="4">
        <v>160.59</v>
      </c>
      <c r="N97" s="2" t="s">
        <v>43</v>
      </c>
    </row>
    <row r="98" spans="1:14" ht="15" x14ac:dyDescent="0.25">
      <c r="A98" s="2" t="s">
        <v>146</v>
      </c>
      <c r="B98" s="2" t="s">
        <v>33</v>
      </c>
      <c r="C98" s="2" t="s">
        <v>46</v>
      </c>
      <c r="D98" s="2" t="s">
        <v>54</v>
      </c>
      <c r="E98" s="3">
        <v>45207</v>
      </c>
      <c r="F98" s="3">
        <v>45210</v>
      </c>
      <c r="G98" s="4">
        <v>223</v>
      </c>
      <c r="H98" s="4">
        <v>3</v>
      </c>
      <c r="I98" s="2" t="s">
        <v>51</v>
      </c>
      <c r="J98" s="2" t="s">
        <v>57</v>
      </c>
      <c r="K98" s="4">
        <v>1</v>
      </c>
      <c r="L98" s="4">
        <v>333.91</v>
      </c>
      <c r="M98" s="4">
        <v>333.91</v>
      </c>
      <c r="N98" s="2" t="s">
        <v>31</v>
      </c>
    </row>
    <row r="99" spans="1:14" ht="15" x14ac:dyDescent="0.25">
      <c r="A99" s="2" t="s">
        <v>147</v>
      </c>
      <c r="B99" s="2" t="s">
        <v>53</v>
      </c>
      <c r="C99" s="2" t="s">
        <v>61</v>
      </c>
      <c r="D99" s="2" t="s">
        <v>23</v>
      </c>
      <c r="E99" s="3">
        <v>44958</v>
      </c>
      <c r="F99" s="3">
        <v>44963</v>
      </c>
      <c r="G99" s="4">
        <v>174</v>
      </c>
      <c r="H99" s="4">
        <v>5</v>
      </c>
      <c r="I99" s="2" t="s">
        <v>24</v>
      </c>
      <c r="J99" s="2" t="s">
        <v>57</v>
      </c>
      <c r="K99" s="4">
        <v>3</v>
      </c>
      <c r="L99" s="4">
        <v>251.45</v>
      </c>
      <c r="M99" s="4">
        <v>754.35</v>
      </c>
      <c r="N99" s="2" t="s">
        <v>31</v>
      </c>
    </row>
    <row r="100" spans="1:14" ht="15" x14ac:dyDescent="0.25">
      <c r="A100" s="2" t="s">
        <v>148</v>
      </c>
      <c r="B100" s="2" t="s">
        <v>41</v>
      </c>
      <c r="C100" s="2" t="s">
        <v>29</v>
      </c>
      <c r="D100" s="2" t="s">
        <v>47</v>
      </c>
      <c r="E100" s="3">
        <v>45111</v>
      </c>
      <c r="F100" s="3">
        <v>45116</v>
      </c>
      <c r="G100" s="4">
        <v>970</v>
      </c>
      <c r="H100" s="4">
        <v>5</v>
      </c>
      <c r="I100" s="2" t="s">
        <v>63</v>
      </c>
      <c r="J100" s="2" t="s">
        <v>57</v>
      </c>
      <c r="K100" s="4">
        <v>2</v>
      </c>
      <c r="L100" s="4">
        <v>110.42</v>
      </c>
      <c r="M100" s="4">
        <v>220.84</v>
      </c>
      <c r="N100" s="2" t="s">
        <v>43</v>
      </c>
    </row>
    <row r="101" spans="1:14" ht="15" x14ac:dyDescent="0.25">
      <c r="A101" s="2" t="s">
        <v>149</v>
      </c>
      <c r="B101" s="2" t="s">
        <v>45</v>
      </c>
      <c r="C101" s="2" t="s">
        <v>37</v>
      </c>
      <c r="D101" s="2" t="s">
        <v>23</v>
      </c>
      <c r="E101" s="3">
        <v>45267</v>
      </c>
      <c r="F101" s="3">
        <v>45268</v>
      </c>
      <c r="G101" s="4">
        <v>236</v>
      </c>
      <c r="H101" s="4">
        <v>1</v>
      </c>
      <c r="I101" s="2" t="s">
        <v>42</v>
      </c>
      <c r="J101" s="2" t="s">
        <v>25</v>
      </c>
      <c r="K101" s="4">
        <v>1</v>
      </c>
      <c r="L101" s="4">
        <v>481.07</v>
      </c>
      <c r="M101" s="4">
        <v>481.07</v>
      </c>
      <c r="N101" s="2" t="s">
        <v>31</v>
      </c>
    </row>
    <row r="102" spans="1:14" ht="15" x14ac:dyDescent="0.25">
      <c r="A102" s="2" t="s">
        <v>150</v>
      </c>
      <c r="B102" s="2" t="s">
        <v>22</v>
      </c>
      <c r="C102" s="2" t="s">
        <v>16</v>
      </c>
      <c r="D102" s="2" t="s">
        <v>23</v>
      </c>
      <c r="E102" s="3">
        <v>45044</v>
      </c>
      <c r="F102" s="3">
        <v>45052</v>
      </c>
      <c r="G102" s="4">
        <v>701</v>
      </c>
      <c r="H102" s="4">
        <v>8</v>
      </c>
      <c r="I102" s="2" t="s">
        <v>30</v>
      </c>
      <c r="J102" s="2" t="s">
        <v>49</v>
      </c>
      <c r="K102" s="4">
        <v>1</v>
      </c>
      <c r="L102" s="4">
        <v>288.35000000000002</v>
      </c>
      <c r="M102" s="4">
        <v>288.35000000000002</v>
      </c>
      <c r="N102" s="2" t="s">
        <v>31</v>
      </c>
    </row>
    <row r="103" spans="1:14" ht="15" x14ac:dyDescent="0.25">
      <c r="A103" s="2" t="s">
        <v>151</v>
      </c>
      <c r="B103" s="2" t="s">
        <v>28</v>
      </c>
      <c r="C103" s="2" t="s">
        <v>29</v>
      </c>
      <c r="D103" s="2" t="s">
        <v>23</v>
      </c>
      <c r="E103" s="3">
        <v>45143</v>
      </c>
      <c r="F103" s="3">
        <v>45151</v>
      </c>
      <c r="G103" s="4">
        <v>499</v>
      </c>
      <c r="H103" s="4">
        <v>8</v>
      </c>
      <c r="I103" s="2" t="s">
        <v>63</v>
      </c>
      <c r="J103" s="2" t="s">
        <v>57</v>
      </c>
      <c r="K103" s="4">
        <v>2</v>
      </c>
      <c r="L103" s="4">
        <v>158.85</v>
      </c>
      <c r="M103" s="4">
        <v>317.7</v>
      </c>
      <c r="N103" s="2" t="s">
        <v>31</v>
      </c>
    </row>
    <row r="104" spans="1:14" ht="15" x14ac:dyDescent="0.25">
      <c r="A104" s="2" t="s">
        <v>152</v>
      </c>
      <c r="B104" s="2" t="s">
        <v>28</v>
      </c>
      <c r="C104" s="2" t="s">
        <v>46</v>
      </c>
      <c r="D104" s="2" t="s">
        <v>54</v>
      </c>
      <c r="E104" s="3">
        <v>45061</v>
      </c>
      <c r="F104" s="3">
        <v>45065</v>
      </c>
      <c r="G104" s="4">
        <v>936</v>
      </c>
      <c r="H104" s="4">
        <v>4</v>
      </c>
      <c r="I104" s="2" t="s">
        <v>42</v>
      </c>
      <c r="J104" s="2" t="s">
        <v>19</v>
      </c>
      <c r="K104" s="4">
        <v>1</v>
      </c>
      <c r="L104" s="4">
        <v>275.27</v>
      </c>
      <c r="M104" s="4">
        <v>275.27</v>
      </c>
      <c r="N104" s="2" t="s">
        <v>43</v>
      </c>
    </row>
    <row r="105" spans="1:14" ht="15" x14ac:dyDescent="0.25">
      <c r="A105" s="2" t="s">
        <v>153</v>
      </c>
      <c r="B105" s="2" t="s">
        <v>45</v>
      </c>
      <c r="C105" s="2" t="s">
        <v>34</v>
      </c>
      <c r="D105" s="2" t="s">
        <v>54</v>
      </c>
      <c r="E105" s="3">
        <v>45092</v>
      </c>
      <c r="F105" s="3">
        <v>45099</v>
      </c>
      <c r="G105" s="4">
        <v>604</v>
      </c>
      <c r="H105" s="4">
        <v>7</v>
      </c>
      <c r="I105" s="2" t="s">
        <v>18</v>
      </c>
      <c r="J105" s="2" t="s">
        <v>25</v>
      </c>
      <c r="K105" s="4">
        <v>3</v>
      </c>
      <c r="L105" s="4">
        <v>355.83</v>
      </c>
      <c r="M105" s="4">
        <v>1067.49</v>
      </c>
      <c r="N105" s="2" t="s">
        <v>31</v>
      </c>
    </row>
    <row r="106" spans="1:14" ht="15" x14ac:dyDescent="0.25">
      <c r="A106" s="2" t="s">
        <v>154</v>
      </c>
      <c r="B106" s="2" t="s">
        <v>33</v>
      </c>
      <c r="C106" s="2" t="s">
        <v>16</v>
      </c>
      <c r="D106" s="2" t="s">
        <v>17</v>
      </c>
      <c r="E106" s="3">
        <v>45127</v>
      </c>
      <c r="F106" s="3">
        <v>45130</v>
      </c>
      <c r="G106" s="4">
        <v>599</v>
      </c>
      <c r="H106" s="4">
        <v>3</v>
      </c>
      <c r="I106" s="2" t="s">
        <v>63</v>
      </c>
      <c r="J106" s="2" t="s">
        <v>25</v>
      </c>
      <c r="K106" s="4">
        <v>3</v>
      </c>
      <c r="L106" s="4">
        <v>84.31</v>
      </c>
      <c r="M106" s="4">
        <v>252.93</v>
      </c>
      <c r="N106" s="2" t="s">
        <v>20</v>
      </c>
    </row>
    <row r="107" spans="1:14" ht="15" x14ac:dyDescent="0.25">
      <c r="A107" s="2" t="s">
        <v>155</v>
      </c>
      <c r="B107" s="2" t="s">
        <v>22</v>
      </c>
      <c r="C107" s="2" t="s">
        <v>34</v>
      </c>
      <c r="D107" s="2" t="s">
        <v>47</v>
      </c>
      <c r="E107" s="3">
        <v>45127</v>
      </c>
      <c r="F107" s="3">
        <v>45133</v>
      </c>
      <c r="G107" s="4">
        <v>672</v>
      </c>
      <c r="H107" s="4">
        <v>6</v>
      </c>
      <c r="I107" s="2" t="s">
        <v>51</v>
      </c>
      <c r="J107" s="2" t="s">
        <v>19</v>
      </c>
      <c r="K107" s="4">
        <v>1</v>
      </c>
      <c r="L107" s="4">
        <v>173.62</v>
      </c>
      <c r="M107" s="4">
        <v>173.62</v>
      </c>
      <c r="N107" s="2" t="s">
        <v>26</v>
      </c>
    </row>
    <row r="108" spans="1:14" ht="15" x14ac:dyDescent="0.25">
      <c r="A108" s="2" t="s">
        <v>156</v>
      </c>
      <c r="B108" s="2" t="s">
        <v>22</v>
      </c>
      <c r="C108" s="2" t="s">
        <v>37</v>
      </c>
      <c r="D108" s="2" t="s">
        <v>47</v>
      </c>
      <c r="E108" s="3">
        <v>45000</v>
      </c>
      <c r="F108" s="3">
        <v>45009</v>
      </c>
      <c r="G108" s="4">
        <v>237</v>
      </c>
      <c r="H108" s="4">
        <v>9</v>
      </c>
      <c r="I108" s="2" t="s">
        <v>42</v>
      </c>
      <c r="J108" s="2" t="s">
        <v>57</v>
      </c>
      <c r="K108" s="4">
        <v>3</v>
      </c>
      <c r="L108" s="4">
        <v>413.13</v>
      </c>
      <c r="M108" s="4">
        <v>1239.3900000000001</v>
      </c>
      <c r="N108" s="2" t="s">
        <v>31</v>
      </c>
    </row>
    <row r="109" spans="1:14" ht="15" x14ac:dyDescent="0.25">
      <c r="A109" s="2" t="s">
        <v>157</v>
      </c>
      <c r="B109" s="2" t="s">
        <v>45</v>
      </c>
      <c r="C109" s="2" t="s">
        <v>61</v>
      </c>
      <c r="D109" s="2" t="s">
        <v>54</v>
      </c>
      <c r="E109" s="3">
        <v>45176</v>
      </c>
      <c r="F109" s="3">
        <v>45177</v>
      </c>
      <c r="G109" s="4">
        <v>149</v>
      </c>
      <c r="H109" s="4">
        <v>1</v>
      </c>
      <c r="I109" s="2" t="s">
        <v>42</v>
      </c>
      <c r="J109" s="2" t="s">
        <v>49</v>
      </c>
      <c r="K109" s="4">
        <v>4</v>
      </c>
      <c r="L109" s="4">
        <v>256.85000000000002</v>
      </c>
      <c r="M109" s="4">
        <v>1027.4000000000001</v>
      </c>
      <c r="N109" s="2" t="s">
        <v>20</v>
      </c>
    </row>
    <row r="110" spans="1:14" ht="15" x14ac:dyDescent="0.25">
      <c r="A110" s="2" t="s">
        <v>158</v>
      </c>
      <c r="B110" s="2" t="s">
        <v>41</v>
      </c>
      <c r="C110" s="2" t="s">
        <v>29</v>
      </c>
      <c r="D110" s="2" t="s">
        <v>47</v>
      </c>
      <c r="E110" s="3">
        <v>44959</v>
      </c>
      <c r="F110" s="3">
        <v>44964</v>
      </c>
      <c r="G110" s="4">
        <v>870</v>
      </c>
      <c r="H110" s="4">
        <v>5</v>
      </c>
      <c r="I110" s="2" t="s">
        <v>55</v>
      </c>
      <c r="J110" s="2" t="s">
        <v>39</v>
      </c>
      <c r="K110" s="4">
        <v>1</v>
      </c>
      <c r="L110" s="4">
        <v>295.95999999999998</v>
      </c>
      <c r="M110" s="4">
        <v>295.95999999999998</v>
      </c>
      <c r="N110" s="2" t="s">
        <v>26</v>
      </c>
    </row>
    <row r="111" spans="1:14" ht="15" x14ac:dyDescent="0.25">
      <c r="A111" s="2" t="s">
        <v>159</v>
      </c>
      <c r="B111" s="2" t="s">
        <v>33</v>
      </c>
      <c r="C111" s="2" t="s">
        <v>29</v>
      </c>
      <c r="D111" s="2" t="s">
        <v>54</v>
      </c>
      <c r="E111" s="3">
        <v>44977</v>
      </c>
      <c r="F111" s="3">
        <v>44981</v>
      </c>
      <c r="G111" s="4">
        <v>718</v>
      </c>
      <c r="H111" s="4">
        <v>4</v>
      </c>
      <c r="I111" s="2" t="s">
        <v>42</v>
      </c>
      <c r="J111" s="2" t="s">
        <v>49</v>
      </c>
      <c r="K111" s="4">
        <v>2</v>
      </c>
      <c r="L111" s="4">
        <v>244.77</v>
      </c>
      <c r="M111" s="4">
        <v>489.54</v>
      </c>
      <c r="N111" s="2" t="s">
        <v>43</v>
      </c>
    </row>
    <row r="112" spans="1:14" ht="15" x14ac:dyDescent="0.25">
      <c r="A112" s="2" t="s">
        <v>160</v>
      </c>
      <c r="B112" s="2" t="s">
        <v>33</v>
      </c>
      <c r="C112" s="2" t="s">
        <v>29</v>
      </c>
      <c r="D112" s="2" t="s">
        <v>35</v>
      </c>
      <c r="E112" s="3">
        <v>44927</v>
      </c>
      <c r="F112" s="3">
        <v>44935</v>
      </c>
      <c r="G112" s="4">
        <v>724</v>
      </c>
      <c r="H112" s="4">
        <v>8</v>
      </c>
      <c r="I112" s="2" t="s">
        <v>24</v>
      </c>
      <c r="J112" s="2" t="s">
        <v>19</v>
      </c>
      <c r="K112" s="4">
        <v>4</v>
      </c>
      <c r="L112" s="4">
        <v>69.75</v>
      </c>
      <c r="M112" s="4">
        <v>279</v>
      </c>
      <c r="N112" s="2" t="s">
        <v>31</v>
      </c>
    </row>
    <row r="113" spans="1:14" ht="15" x14ac:dyDescent="0.25">
      <c r="A113" s="2" t="s">
        <v>161</v>
      </c>
      <c r="B113" s="2" t="s">
        <v>22</v>
      </c>
      <c r="C113" s="2" t="s">
        <v>46</v>
      </c>
      <c r="D113" s="2" t="s">
        <v>54</v>
      </c>
      <c r="E113" s="3">
        <v>44969</v>
      </c>
      <c r="F113" s="3">
        <v>44970</v>
      </c>
      <c r="G113" s="4">
        <v>961</v>
      </c>
      <c r="H113" s="4">
        <v>1</v>
      </c>
      <c r="I113" s="2" t="s">
        <v>24</v>
      </c>
      <c r="J113" s="2" t="s">
        <v>19</v>
      </c>
      <c r="K113" s="4">
        <v>1</v>
      </c>
      <c r="L113" s="4">
        <v>124.59</v>
      </c>
      <c r="M113" s="4">
        <v>124.59</v>
      </c>
      <c r="N113" s="2" t="s">
        <v>26</v>
      </c>
    </row>
    <row r="114" spans="1:14" ht="15" x14ac:dyDescent="0.25">
      <c r="A114" s="2" t="s">
        <v>162</v>
      </c>
      <c r="B114" s="2" t="s">
        <v>28</v>
      </c>
      <c r="C114" s="2" t="s">
        <v>61</v>
      </c>
      <c r="D114" s="2" t="s">
        <v>54</v>
      </c>
      <c r="E114" s="3">
        <v>45099</v>
      </c>
      <c r="F114" s="3">
        <v>45108</v>
      </c>
      <c r="G114" s="4">
        <v>353</v>
      </c>
      <c r="H114" s="4">
        <v>9</v>
      </c>
      <c r="I114" s="2" t="s">
        <v>30</v>
      </c>
      <c r="J114" s="2" t="s">
        <v>19</v>
      </c>
      <c r="K114" s="4">
        <v>2</v>
      </c>
      <c r="L114" s="4">
        <v>250.49</v>
      </c>
      <c r="M114" s="4">
        <v>500.98</v>
      </c>
      <c r="N114" s="2" t="s">
        <v>20</v>
      </c>
    </row>
    <row r="115" spans="1:14" ht="15" x14ac:dyDescent="0.25">
      <c r="A115" s="2" t="s">
        <v>163</v>
      </c>
      <c r="B115" s="2" t="s">
        <v>75</v>
      </c>
      <c r="C115" s="2" t="s">
        <v>46</v>
      </c>
      <c r="D115" s="2" t="s">
        <v>47</v>
      </c>
      <c r="E115" s="3">
        <v>45148</v>
      </c>
      <c r="F115" s="3">
        <v>45154</v>
      </c>
      <c r="G115" s="4">
        <v>729</v>
      </c>
      <c r="H115" s="4">
        <v>6</v>
      </c>
      <c r="I115" s="2" t="s">
        <v>51</v>
      </c>
      <c r="J115" s="2" t="s">
        <v>25</v>
      </c>
      <c r="K115" s="4">
        <v>3</v>
      </c>
      <c r="L115" s="4">
        <v>144.13</v>
      </c>
      <c r="M115" s="4">
        <v>432.39</v>
      </c>
      <c r="N115" s="2" t="s">
        <v>26</v>
      </c>
    </row>
    <row r="116" spans="1:14" ht="15" x14ac:dyDescent="0.25">
      <c r="A116" s="2" t="s">
        <v>164</v>
      </c>
      <c r="B116" s="2" t="s">
        <v>45</v>
      </c>
      <c r="C116" s="2" t="s">
        <v>16</v>
      </c>
      <c r="D116" s="2" t="s">
        <v>54</v>
      </c>
      <c r="E116" s="3">
        <v>45216</v>
      </c>
      <c r="F116" s="3">
        <v>45220</v>
      </c>
      <c r="G116" s="4">
        <v>809</v>
      </c>
      <c r="H116" s="4">
        <v>4</v>
      </c>
      <c r="I116" s="2" t="s">
        <v>30</v>
      </c>
      <c r="J116" s="2" t="s">
        <v>25</v>
      </c>
      <c r="K116" s="4">
        <v>2</v>
      </c>
      <c r="L116" s="4">
        <v>72.489999999999995</v>
      </c>
      <c r="M116" s="4">
        <v>144.97999999999999</v>
      </c>
      <c r="N116" s="2" t="s">
        <v>26</v>
      </c>
    </row>
    <row r="117" spans="1:14" ht="15" x14ac:dyDescent="0.25">
      <c r="A117" s="2" t="s">
        <v>165</v>
      </c>
      <c r="B117" s="2" t="s">
        <v>15</v>
      </c>
      <c r="C117" s="2" t="s">
        <v>37</v>
      </c>
      <c r="D117" s="2" t="s">
        <v>35</v>
      </c>
      <c r="E117" s="3">
        <v>44965</v>
      </c>
      <c r="F117" s="3">
        <v>44974</v>
      </c>
      <c r="G117" s="4">
        <v>948</v>
      </c>
      <c r="H117" s="4">
        <v>9</v>
      </c>
      <c r="I117" s="2" t="s">
        <v>42</v>
      </c>
      <c r="J117" s="2" t="s">
        <v>39</v>
      </c>
      <c r="K117" s="4">
        <v>4</v>
      </c>
      <c r="L117" s="4">
        <v>429.64</v>
      </c>
      <c r="M117" s="4">
        <v>1718.56</v>
      </c>
      <c r="N117" s="2" t="s">
        <v>43</v>
      </c>
    </row>
    <row r="118" spans="1:14" ht="15" x14ac:dyDescent="0.25">
      <c r="A118" s="2" t="s">
        <v>166</v>
      </c>
      <c r="B118" s="2" t="s">
        <v>33</v>
      </c>
      <c r="C118" s="2" t="s">
        <v>37</v>
      </c>
      <c r="D118" s="2" t="s">
        <v>47</v>
      </c>
      <c r="E118" s="3">
        <v>45237</v>
      </c>
      <c r="F118" s="3">
        <v>45242</v>
      </c>
      <c r="G118" s="4">
        <v>976</v>
      </c>
      <c r="H118" s="4">
        <v>5</v>
      </c>
      <c r="I118" s="2" t="s">
        <v>63</v>
      </c>
      <c r="J118" s="2" t="s">
        <v>25</v>
      </c>
      <c r="K118" s="4">
        <v>3</v>
      </c>
      <c r="L118" s="4">
        <v>491.54</v>
      </c>
      <c r="M118" s="4">
        <v>1474.62</v>
      </c>
      <c r="N118" s="2" t="s">
        <v>43</v>
      </c>
    </row>
    <row r="119" spans="1:14" ht="15" x14ac:dyDescent="0.25">
      <c r="A119" s="2" t="s">
        <v>167</v>
      </c>
      <c r="B119" s="2" t="s">
        <v>28</v>
      </c>
      <c r="C119" s="2" t="s">
        <v>76</v>
      </c>
      <c r="D119" s="2" t="s">
        <v>23</v>
      </c>
      <c r="E119" s="3">
        <v>45199</v>
      </c>
      <c r="F119" s="3">
        <v>45204</v>
      </c>
      <c r="G119" s="4">
        <v>662</v>
      </c>
      <c r="H119" s="4">
        <v>5</v>
      </c>
      <c r="I119" s="2" t="s">
        <v>18</v>
      </c>
      <c r="J119" s="2" t="s">
        <v>49</v>
      </c>
      <c r="K119" s="4">
        <v>1</v>
      </c>
      <c r="L119" s="4">
        <v>406.91</v>
      </c>
      <c r="M119" s="4">
        <v>406.91</v>
      </c>
      <c r="N119" s="2" t="s">
        <v>43</v>
      </c>
    </row>
    <row r="120" spans="1:14" ht="15" x14ac:dyDescent="0.25">
      <c r="A120" s="2" t="s">
        <v>168</v>
      </c>
      <c r="B120" s="2" t="s">
        <v>75</v>
      </c>
      <c r="C120" s="2" t="s">
        <v>29</v>
      </c>
      <c r="D120" s="2" t="s">
        <v>35</v>
      </c>
      <c r="E120" s="3">
        <v>45076</v>
      </c>
      <c r="F120" s="3">
        <v>45081</v>
      </c>
      <c r="G120" s="4">
        <v>856</v>
      </c>
      <c r="H120" s="4">
        <v>5</v>
      </c>
      <c r="I120" s="2" t="s">
        <v>63</v>
      </c>
      <c r="J120" s="2" t="s">
        <v>49</v>
      </c>
      <c r="K120" s="4">
        <v>3</v>
      </c>
      <c r="L120" s="4">
        <v>434.2</v>
      </c>
      <c r="M120" s="4">
        <v>1302.5999999999999</v>
      </c>
      <c r="N120" s="2" t="s">
        <v>43</v>
      </c>
    </row>
    <row r="121" spans="1:14" ht="15" x14ac:dyDescent="0.25">
      <c r="A121" s="2" t="s">
        <v>169</v>
      </c>
      <c r="B121" s="2" t="s">
        <v>45</v>
      </c>
      <c r="C121" s="2" t="s">
        <v>61</v>
      </c>
      <c r="D121" s="2" t="s">
        <v>47</v>
      </c>
      <c r="E121" s="3">
        <v>45267</v>
      </c>
      <c r="F121" s="3">
        <v>45268</v>
      </c>
      <c r="G121" s="4">
        <v>525</v>
      </c>
      <c r="H121" s="4">
        <v>1</v>
      </c>
      <c r="I121" s="2" t="s">
        <v>42</v>
      </c>
      <c r="J121" s="2" t="s">
        <v>19</v>
      </c>
      <c r="K121" s="4">
        <v>1</v>
      </c>
      <c r="L121" s="4">
        <v>158.88999999999999</v>
      </c>
      <c r="M121" s="4">
        <v>158.88999999999999</v>
      </c>
      <c r="N121" s="2" t="s">
        <v>20</v>
      </c>
    </row>
    <row r="122" spans="1:14" ht="15" x14ac:dyDescent="0.25">
      <c r="A122" s="2" t="s">
        <v>170</v>
      </c>
      <c r="B122" s="2" t="s">
        <v>33</v>
      </c>
      <c r="C122" s="2" t="s">
        <v>76</v>
      </c>
      <c r="D122" s="2" t="s">
        <v>35</v>
      </c>
      <c r="E122" s="3">
        <v>45288</v>
      </c>
      <c r="F122" s="3">
        <v>45289</v>
      </c>
      <c r="G122" s="4">
        <v>646</v>
      </c>
      <c r="H122" s="4">
        <v>1</v>
      </c>
      <c r="I122" s="2" t="s">
        <v>42</v>
      </c>
      <c r="J122" s="2" t="s">
        <v>19</v>
      </c>
      <c r="K122" s="4">
        <v>1</v>
      </c>
      <c r="L122" s="4">
        <v>482.28</v>
      </c>
      <c r="M122" s="4">
        <v>482.28</v>
      </c>
      <c r="N122" s="2" t="s">
        <v>26</v>
      </c>
    </row>
    <row r="123" spans="1:14" ht="15" x14ac:dyDescent="0.25">
      <c r="A123" s="2" t="s">
        <v>171</v>
      </c>
      <c r="B123" s="2" t="s">
        <v>41</v>
      </c>
      <c r="C123" s="2" t="s">
        <v>46</v>
      </c>
      <c r="D123" s="2" t="s">
        <v>47</v>
      </c>
      <c r="E123" s="3">
        <v>45001</v>
      </c>
      <c r="F123" s="3">
        <v>45009</v>
      </c>
      <c r="G123" s="4">
        <v>401</v>
      </c>
      <c r="H123" s="4">
        <v>8</v>
      </c>
      <c r="I123" s="2" t="s">
        <v>42</v>
      </c>
      <c r="J123" s="2" t="s">
        <v>19</v>
      </c>
      <c r="K123" s="4">
        <v>2</v>
      </c>
      <c r="L123" s="4">
        <v>138.62</v>
      </c>
      <c r="M123" s="4">
        <v>277.24</v>
      </c>
      <c r="N123" s="2" t="s">
        <v>20</v>
      </c>
    </row>
    <row r="124" spans="1:14" ht="15" x14ac:dyDescent="0.25">
      <c r="A124" s="2" t="s">
        <v>172</v>
      </c>
      <c r="B124" s="2" t="s">
        <v>45</v>
      </c>
      <c r="C124" s="2" t="s">
        <v>29</v>
      </c>
      <c r="D124" s="2" t="s">
        <v>17</v>
      </c>
      <c r="E124" s="3">
        <v>45065</v>
      </c>
      <c r="F124" s="3">
        <v>45073</v>
      </c>
      <c r="G124" s="4">
        <v>680</v>
      </c>
      <c r="H124" s="4">
        <v>8</v>
      </c>
      <c r="I124" s="2" t="s">
        <v>30</v>
      </c>
      <c r="J124" s="2" t="s">
        <v>49</v>
      </c>
      <c r="K124" s="4">
        <v>2</v>
      </c>
      <c r="L124" s="4">
        <v>478.14</v>
      </c>
      <c r="M124" s="4">
        <v>956.28</v>
      </c>
      <c r="N124" s="2" t="s">
        <v>31</v>
      </c>
    </row>
    <row r="125" spans="1:14" ht="15" x14ac:dyDescent="0.25">
      <c r="A125" s="2" t="s">
        <v>173</v>
      </c>
      <c r="B125" s="2" t="s">
        <v>15</v>
      </c>
      <c r="C125" s="2" t="s">
        <v>16</v>
      </c>
      <c r="D125" s="2" t="s">
        <v>17</v>
      </c>
      <c r="E125" s="3">
        <v>45265</v>
      </c>
      <c r="F125" s="3">
        <v>45271</v>
      </c>
      <c r="G125" s="4">
        <v>448</v>
      </c>
      <c r="H125" s="4">
        <v>6</v>
      </c>
      <c r="I125" s="2" t="s">
        <v>24</v>
      </c>
      <c r="J125" s="2" t="s">
        <v>57</v>
      </c>
      <c r="K125" s="4">
        <v>2</v>
      </c>
      <c r="L125" s="4">
        <v>497.67</v>
      </c>
      <c r="M125" s="4">
        <v>995.34</v>
      </c>
      <c r="N125" s="2" t="s">
        <v>31</v>
      </c>
    </row>
    <row r="126" spans="1:14" ht="15" x14ac:dyDescent="0.25">
      <c r="A126" s="2" t="s">
        <v>174</v>
      </c>
      <c r="B126" s="2" t="s">
        <v>41</v>
      </c>
      <c r="C126" s="2" t="s">
        <v>37</v>
      </c>
      <c r="D126" s="2" t="s">
        <v>17</v>
      </c>
      <c r="E126" s="3">
        <v>45190</v>
      </c>
      <c r="F126" s="3">
        <v>45194</v>
      </c>
      <c r="G126" s="4">
        <v>931</v>
      </c>
      <c r="H126" s="4">
        <v>4</v>
      </c>
      <c r="I126" s="2" t="s">
        <v>24</v>
      </c>
      <c r="J126" s="2" t="s">
        <v>39</v>
      </c>
      <c r="K126" s="4">
        <v>4</v>
      </c>
      <c r="L126" s="4">
        <v>370.28</v>
      </c>
      <c r="M126" s="4">
        <v>1481.12</v>
      </c>
      <c r="N126" s="2" t="s">
        <v>20</v>
      </c>
    </row>
    <row r="127" spans="1:14" ht="15" x14ac:dyDescent="0.25">
      <c r="A127" s="2" t="s">
        <v>175</v>
      </c>
      <c r="B127" s="2" t="s">
        <v>22</v>
      </c>
      <c r="C127" s="2" t="s">
        <v>29</v>
      </c>
      <c r="D127" s="2" t="s">
        <v>23</v>
      </c>
      <c r="E127" s="3">
        <v>44944</v>
      </c>
      <c r="F127" s="3">
        <v>44946</v>
      </c>
      <c r="G127" s="4">
        <v>148</v>
      </c>
      <c r="H127" s="4">
        <v>2</v>
      </c>
      <c r="I127" s="2" t="s">
        <v>42</v>
      </c>
      <c r="J127" s="2" t="s">
        <v>49</v>
      </c>
      <c r="K127" s="4">
        <v>4</v>
      </c>
      <c r="L127" s="4">
        <v>491.51</v>
      </c>
      <c r="M127" s="4">
        <v>1966.04</v>
      </c>
      <c r="N127" s="2" t="s">
        <v>43</v>
      </c>
    </row>
    <row r="128" spans="1:14" ht="15" x14ac:dyDescent="0.25">
      <c r="A128" s="2" t="s">
        <v>176</v>
      </c>
      <c r="B128" s="2" t="s">
        <v>28</v>
      </c>
      <c r="C128" s="2" t="s">
        <v>34</v>
      </c>
      <c r="D128" s="2" t="s">
        <v>54</v>
      </c>
      <c r="E128" s="3">
        <v>45212</v>
      </c>
      <c r="F128" s="3">
        <v>45214</v>
      </c>
      <c r="G128" s="4">
        <v>173</v>
      </c>
      <c r="H128" s="4">
        <v>2</v>
      </c>
      <c r="I128" s="2" t="s">
        <v>63</v>
      </c>
      <c r="J128" s="2" t="s">
        <v>39</v>
      </c>
      <c r="K128" s="4">
        <v>2</v>
      </c>
      <c r="L128" s="4">
        <v>306.29000000000002</v>
      </c>
      <c r="M128" s="4">
        <v>612.58000000000004</v>
      </c>
      <c r="N128" s="2" t="s">
        <v>31</v>
      </c>
    </row>
    <row r="129" spans="1:14" ht="15" x14ac:dyDescent="0.25">
      <c r="A129" s="2" t="s">
        <v>177</v>
      </c>
      <c r="B129" s="2" t="s">
        <v>53</v>
      </c>
      <c r="C129" s="2" t="s">
        <v>16</v>
      </c>
      <c r="D129" s="2" t="s">
        <v>23</v>
      </c>
      <c r="E129" s="3">
        <v>45229</v>
      </c>
      <c r="F129" s="3">
        <v>45238</v>
      </c>
      <c r="G129" s="4">
        <v>803</v>
      </c>
      <c r="H129" s="4">
        <v>9</v>
      </c>
      <c r="I129" s="2" t="s">
        <v>51</v>
      </c>
      <c r="J129" s="2" t="s">
        <v>25</v>
      </c>
      <c r="K129" s="4">
        <v>4</v>
      </c>
      <c r="L129" s="4">
        <v>166.79</v>
      </c>
      <c r="M129" s="4">
        <v>667.16</v>
      </c>
      <c r="N129" s="2" t="s">
        <v>20</v>
      </c>
    </row>
    <row r="130" spans="1:14" ht="15" x14ac:dyDescent="0.25">
      <c r="A130" s="2" t="s">
        <v>178</v>
      </c>
      <c r="B130" s="2" t="s">
        <v>53</v>
      </c>
      <c r="C130" s="2" t="s">
        <v>29</v>
      </c>
      <c r="D130" s="2" t="s">
        <v>23</v>
      </c>
      <c r="E130" s="3">
        <v>45200</v>
      </c>
      <c r="F130" s="3">
        <v>45205</v>
      </c>
      <c r="G130" s="4">
        <v>360</v>
      </c>
      <c r="H130" s="4">
        <v>5</v>
      </c>
      <c r="I130" s="2" t="s">
        <v>42</v>
      </c>
      <c r="J130" s="2" t="s">
        <v>57</v>
      </c>
      <c r="K130" s="4">
        <v>3</v>
      </c>
      <c r="L130" s="4">
        <v>246.65</v>
      </c>
      <c r="M130" s="4">
        <v>739.95</v>
      </c>
      <c r="N130" s="2" t="s">
        <v>31</v>
      </c>
    </row>
    <row r="131" spans="1:14" ht="15" x14ac:dyDescent="0.25">
      <c r="A131" s="2" t="s">
        <v>179</v>
      </c>
      <c r="B131" s="2" t="s">
        <v>53</v>
      </c>
      <c r="C131" s="2" t="s">
        <v>34</v>
      </c>
      <c r="D131" s="2" t="s">
        <v>17</v>
      </c>
      <c r="E131" s="3">
        <v>45218</v>
      </c>
      <c r="F131" s="3">
        <v>45222</v>
      </c>
      <c r="G131" s="4">
        <v>455</v>
      </c>
      <c r="H131" s="4">
        <v>4</v>
      </c>
      <c r="I131" s="2" t="s">
        <v>24</v>
      </c>
      <c r="J131" s="2" t="s">
        <v>25</v>
      </c>
      <c r="K131" s="4">
        <v>3</v>
      </c>
      <c r="L131" s="4">
        <v>317.10000000000002</v>
      </c>
      <c r="M131" s="4">
        <v>951.3</v>
      </c>
      <c r="N131" s="2" t="s">
        <v>31</v>
      </c>
    </row>
    <row r="132" spans="1:14" ht="15" x14ac:dyDescent="0.25">
      <c r="A132" s="2" t="s">
        <v>180</v>
      </c>
      <c r="B132" s="2" t="s">
        <v>41</v>
      </c>
      <c r="C132" s="2" t="s">
        <v>34</v>
      </c>
      <c r="D132" s="2" t="s">
        <v>23</v>
      </c>
      <c r="E132" s="3">
        <v>45228</v>
      </c>
      <c r="F132" s="3">
        <v>45229</v>
      </c>
      <c r="G132" s="4">
        <v>681</v>
      </c>
      <c r="H132" s="4">
        <v>1</v>
      </c>
      <c r="I132" s="2" t="s">
        <v>24</v>
      </c>
      <c r="J132" s="2" t="s">
        <v>57</v>
      </c>
      <c r="K132" s="4">
        <v>4</v>
      </c>
      <c r="L132" s="4">
        <v>82.89</v>
      </c>
      <c r="M132" s="4">
        <v>331.56</v>
      </c>
      <c r="N132" s="2" t="s">
        <v>26</v>
      </c>
    </row>
    <row r="133" spans="1:14" ht="15" x14ac:dyDescent="0.25">
      <c r="A133" s="2" t="s">
        <v>181</v>
      </c>
      <c r="B133" s="2" t="s">
        <v>41</v>
      </c>
      <c r="C133" s="2" t="s">
        <v>61</v>
      </c>
      <c r="D133" s="2" t="s">
        <v>35</v>
      </c>
      <c r="E133" s="3">
        <v>44995</v>
      </c>
      <c r="F133" s="3">
        <v>45002</v>
      </c>
      <c r="G133" s="4">
        <v>701</v>
      </c>
      <c r="H133" s="4">
        <v>7</v>
      </c>
      <c r="I133" s="2" t="s">
        <v>42</v>
      </c>
      <c r="J133" s="2" t="s">
        <v>39</v>
      </c>
      <c r="K133" s="4">
        <v>4</v>
      </c>
      <c r="L133" s="4">
        <v>330.05</v>
      </c>
      <c r="M133" s="4">
        <v>1320.2</v>
      </c>
      <c r="N133" s="2" t="s">
        <v>20</v>
      </c>
    </row>
    <row r="134" spans="1:14" ht="15" x14ac:dyDescent="0.25">
      <c r="A134" s="2" t="s">
        <v>182</v>
      </c>
      <c r="B134" s="2" t="s">
        <v>28</v>
      </c>
      <c r="C134" s="2" t="s">
        <v>29</v>
      </c>
      <c r="D134" s="2" t="s">
        <v>17</v>
      </c>
      <c r="E134" s="3">
        <v>45013</v>
      </c>
      <c r="F134" s="3">
        <v>45016</v>
      </c>
      <c r="G134" s="4">
        <v>359</v>
      </c>
      <c r="H134" s="4">
        <v>3</v>
      </c>
      <c r="I134" s="2" t="s">
        <v>42</v>
      </c>
      <c r="J134" s="2" t="s">
        <v>25</v>
      </c>
      <c r="K134" s="4">
        <v>3</v>
      </c>
      <c r="L134" s="4">
        <v>491.53</v>
      </c>
      <c r="M134" s="4">
        <v>1474.59</v>
      </c>
      <c r="N134" s="2" t="s">
        <v>43</v>
      </c>
    </row>
    <row r="135" spans="1:14" ht="15" x14ac:dyDescent="0.25">
      <c r="A135" s="2" t="s">
        <v>183</v>
      </c>
      <c r="B135" s="2" t="s">
        <v>75</v>
      </c>
      <c r="C135" s="2" t="s">
        <v>61</v>
      </c>
      <c r="D135" s="2" t="s">
        <v>35</v>
      </c>
      <c r="E135" s="3">
        <v>45158</v>
      </c>
      <c r="F135" s="3">
        <v>45164</v>
      </c>
      <c r="G135" s="4">
        <v>737</v>
      </c>
      <c r="H135" s="4">
        <v>6</v>
      </c>
      <c r="I135" s="2" t="s">
        <v>30</v>
      </c>
      <c r="J135" s="2" t="s">
        <v>39</v>
      </c>
      <c r="K135" s="4">
        <v>1</v>
      </c>
      <c r="L135" s="4">
        <v>135.55000000000001</v>
      </c>
      <c r="M135" s="4">
        <v>135.55000000000001</v>
      </c>
      <c r="N135" s="2" t="s">
        <v>31</v>
      </c>
    </row>
    <row r="136" spans="1:14" ht="15" x14ac:dyDescent="0.25">
      <c r="A136" s="2" t="s">
        <v>184</v>
      </c>
      <c r="B136" s="2" t="s">
        <v>28</v>
      </c>
      <c r="C136" s="2" t="s">
        <v>61</v>
      </c>
      <c r="D136" s="2" t="s">
        <v>17</v>
      </c>
      <c r="E136" s="3">
        <v>45258</v>
      </c>
      <c r="F136" s="3">
        <v>45263</v>
      </c>
      <c r="G136" s="4">
        <v>842</v>
      </c>
      <c r="H136" s="4">
        <v>5</v>
      </c>
      <c r="I136" s="2" t="s">
        <v>63</v>
      </c>
      <c r="J136" s="2" t="s">
        <v>57</v>
      </c>
      <c r="K136" s="4">
        <v>3</v>
      </c>
      <c r="L136" s="4">
        <v>406.67</v>
      </c>
      <c r="M136" s="4">
        <v>1220.01</v>
      </c>
      <c r="N136" s="2" t="s">
        <v>43</v>
      </c>
    </row>
    <row r="137" spans="1:14" ht="15" x14ac:dyDescent="0.25">
      <c r="A137" s="2" t="s">
        <v>185</v>
      </c>
      <c r="B137" s="2" t="s">
        <v>33</v>
      </c>
      <c r="C137" s="2" t="s">
        <v>76</v>
      </c>
      <c r="D137" s="2" t="s">
        <v>47</v>
      </c>
      <c r="E137" s="3">
        <v>45042</v>
      </c>
      <c r="F137" s="3">
        <v>45047</v>
      </c>
      <c r="G137" s="4">
        <v>394</v>
      </c>
      <c r="H137" s="4">
        <v>5</v>
      </c>
      <c r="I137" s="2" t="s">
        <v>24</v>
      </c>
      <c r="J137" s="2" t="s">
        <v>49</v>
      </c>
      <c r="K137" s="4">
        <v>3</v>
      </c>
      <c r="L137" s="4">
        <v>458.55</v>
      </c>
      <c r="M137" s="4">
        <v>1375.65</v>
      </c>
      <c r="N137" s="2" t="s">
        <v>20</v>
      </c>
    </row>
    <row r="138" spans="1:14" ht="15" x14ac:dyDescent="0.25">
      <c r="A138" s="2" t="s">
        <v>186</v>
      </c>
      <c r="B138" s="2" t="s">
        <v>53</v>
      </c>
      <c r="C138" s="2" t="s">
        <v>16</v>
      </c>
      <c r="D138" s="2" t="s">
        <v>23</v>
      </c>
      <c r="E138" s="3">
        <v>45141</v>
      </c>
      <c r="F138" s="3">
        <v>45146</v>
      </c>
      <c r="G138" s="4">
        <v>740</v>
      </c>
      <c r="H138" s="4">
        <v>5</v>
      </c>
      <c r="I138" s="2" t="s">
        <v>55</v>
      </c>
      <c r="J138" s="2" t="s">
        <v>25</v>
      </c>
      <c r="K138" s="4">
        <v>4</v>
      </c>
      <c r="L138" s="4">
        <v>474.67</v>
      </c>
      <c r="M138" s="4">
        <v>1898.68</v>
      </c>
      <c r="N138" s="2" t="s">
        <v>26</v>
      </c>
    </row>
    <row r="139" spans="1:14" ht="15" x14ac:dyDescent="0.25">
      <c r="A139" s="2" t="s">
        <v>187</v>
      </c>
      <c r="B139" s="2" t="s">
        <v>45</v>
      </c>
      <c r="C139" s="2" t="s">
        <v>76</v>
      </c>
      <c r="D139" s="2" t="s">
        <v>54</v>
      </c>
      <c r="E139" s="3">
        <v>45176</v>
      </c>
      <c r="F139" s="3">
        <v>45177</v>
      </c>
      <c r="G139" s="4">
        <v>891</v>
      </c>
      <c r="H139" s="4">
        <v>1</v>
      </c>
      <c r="I139" s="2" t="s">
        <v>42</v>
      </c>
      <c r="J139" s="2" t="s">
        <v>39</v>
      </c>
      <c r="K139" s="4">
        <v>3</v>
      </c>
      <c r="L139" s="4">
        <v>482.06</v>
      </c>
      <c r="M139" s="4">
        <v>1446.18</v>
      </c>
      <c r="N139" s="2" t="s">
        <v>26</v>
      </c>
    </row>
    <row r="140" spans="1:14" ht="15" x14ac:dyDescent="0.25">
      <c r="A140" s="2" t="s">
        <v>188</v>
      </c>
      <c r="B140" s="2" t="s">
        <v>75</v>
      </c>
      <c r="C140" s="2" t="s">
        <v>76</v>
      </c>
      <c r="D140" s="2" t="s">
        <v>23</v>
      </c>
      <c r="E140" s="3">
        <v>45091</v>
      </c>
      <c r="F140" s="3">
        <v>45092</v>
      </c>
      <c r="G140" s="4">
        <v>412</v>
      </c>
      <c r="H140" s="4">
        <v>1</v>
      </c>
      <c r="I140" s="2" t="s">
        <v>18</v>
      </c>
      <c r="J140" s="2" t="s">
        <v>19</v>
      </c>
      <c r="K140" s="4">
        <v>4</v>
      </c>
      <c r="L140" s="4">
        <v>284.66000000000003</v>
      </c>
      <c r="M140" s="4">
        <v>1138.6400000000001</v>
      </c>
      <c r="N140" s="2" t="s">
        <v>20</v>
      </c>
    </row>
    <row r="141" spans="1:14" ht="15" x14ac:dyDescent="0.25">
      <c r="A141" s="2" t="s">
        <v>189</v>
      </c>
      <c r="B141" s="2" t="s">
        <v>33</v>
      </c>
      <c r="C141" s="2" t="s">
        <v>76</v>
      </c>
      <c r="D141" s="2" t="s">
        <v>23</v>
      </c>
      <c r="E141" s="3">
        <v>45187</v>
      </c>
      <c r="F141" s="3">
        <v>45190</v>
      </c>
      <c r="G141" s="4">
        <v>711</v>
      </c>
      <c r="H141" s="4">
        <v>3</v>
      </c>
      <c r="I141" s="2" t="s">
        <v>18</v>
      </c>
      <c r="J141" s="2" t="s">
        <v>57</v>
      </c>
      <c r="K141" s="4">
        <v>4</v>
      </c>
      <c r="L141" s="4">
        <v>489.79</v>
      </c>
      <c r="M141" s="4">
        <v>1959.16</v>
      </c>
      <c r="N141" s="2" t="s">
        <v>31</v>
      </c>
    </row>
    <row r="142" spans="1:14" ht="15" x14ac:dyDescent="0.25">
      <c r="A142" s="2" t="s">
        <v>190</v>
      </c>
      <c r="B142" s="2" t="s">
        <v>22</v>
      </c>
      <c r="C142" s="2" t="s">
        <v>46</v>
      </c>
      <c r="D142" s="2" t="s">
        <v>17</v>
      </c>
      <c r="E142" s="3">
        <v>45255</v>
      </c>
      <c r="F142" s="3">
        <v>45259</v>
      </c>
      <c r="G142" s="4">
        <v>937</v>
      </c>
      <c r="H142" s="4">
        <v>4</v>
      </c>
      <c r="I142" s="2" t="s">
        <v>51</v>
      </c>
      <c r="J142" s="2" t="s">
        <v>19</v>
      </c>
      <c r="K142" s="4">
        <v>2</v>
      </c>
      <c r="L142" s="4">
        <v>390.79</v>
      </c>
      <c r="M142" s="4">
        <v>781.58</v>
      </c>
      <c r="N142" s="2" t="s">
        <v>43</v>
      </c>
    </row>
    <row r="143" spans="1:14" ht="15" x14ac:dyDescent="0.25">
      <c r="A143" s="2" t="s">
        <v>191</v>
      </c>
      <c r="B143" s="2" t="s">
        <v>15</v>
      </c>
      <c r="C143" s="2" t="s">
        <v>16</v>
      </c>
      <c r="D143" s="2" t="s">
        <v>47</v>
      </c>
      <c r="E143" s="3">
        <v>45154</v>
      </c>
      <c r="F143" s="3">
        <v>45159</v>
      </c>
      <c r="G143" s="4">
        <v>908</v>
      </c>
      <c r="H143" s="4">
        <v>5</v>
      </c>
      <c r="I143" s="2" t="s">
        <v>24</v>
      </c>
      <c r="J143" s="2" t="s">
        <v>39</v>
      </c>
      <c r="K143" s="4">
        <v>3</v>
      </c>
      <c r="L143" s="4">
        <v>122.75</v>
      </c>
      <c r="M143" s="4">
        <v>368.25</v>
      </c>
      <c r="N143" s="2" t="s">
        <v>26</v>
      </c>
    </row>
    <row r="144" spans="1:14" ht="15" x14ac:dyDescent="0.25">
      <c r="A144" s="2" t="s">
        <v>192</v>
      </c>
      <c r="B144" s="2" t="s">
        <v>45</v>
      </c>
      <c r="C144" s="2" t="s">
        <v>29</v>
      </c>
      <c r="D144" s="2" t="s">
        <v>23</v>
      </c>
      <c r="E144" s="3">
        <v>45124</v>
      </c>
      <c r="F144" s="3">
        <v>45126</v>
      </c>
      <c r="G144" s="4">
        <v>281</v>
      </c>
      <c r="H144" s="4">
        <v>2</v>
      </c>
      <c r="I144" s="2" t="s">
        <v>51</v>
      </c>
      <c r="J144" s="2" t="s">
        <v>49</v>
      </c>
      <c r="K144" s="4">
        <v>1</v>
      </c>
      <c r="L144" s="4">
        <v>264.61</v>
      </c>
      <c r="M144" s="4">
        <v>264.61</v>
      </c>
      <c r="N144" s="2" t="s">
        <v>26</v>
      </c>
    </row>
    <row r="145" spans="1:14" ht="15" x14ac:dyDescent="0.25">
      <c r="A145" s="2" t="s">
        <v>193</v>
      </c>
      <c r="B145" s="2" t="s">
        <v>41</v>
      </c>
      <c r="C145" s="2" t="s">
        <v>76</v>
      </c>
      <c r="D145" s="2" t="s">
        <v>23</v>
      </c>
      <c r="E145" s="3">
        <v>45087</v>
      </c>
      <c r="F145" s="3">
        <v>45095</v>
      </c>
      <c r="G145" s="4">
        <v>785</v>
      </c>
      <c r="H145" s="4">
        <v>8</v>
      </c>
      <c r="I145" s="2" t="s">
        <v>63</v>
      </c>
      <c r="J145" s="2" t="s">
        <v>57</v>
      </c>
      <c r="K145" s="4">
        <v>2</v>
      </c>
      <c r="L145" s="4">
        <v>373.25</v>
      </c>
      <c r="M145" s="4">
        <v>746.5</v>
      </c>
      <c r="N145" s="2" t="s">
        <v>43</v>
      </c>
    </row>
    <row r="146" spans="1:14" ht="15" x14ac:dyDescent="0.25">
      <c r="A146" s="2" t="s">
        <v>194</v>
      </c>
      <c r="B146" s="2" t="s">
        <v>75</v>
      </c>
      <c r="C146" s="2" t="s">
        <v>61</v>
      </c>
      <c r="D146" s="2" t="s">
        <v>17</v>
      </c>
      <c r="E146" s="3">
        <v>45137</v>
      </c>
      <c r="F146" s="3">
        <v>45139</v>
      </c>
      <c r="G146" s="4">
        <v>927</v>
      </c>
      <c r="H146" s="4">
        <v>2</v>
      </c>
      <c r="I146" s="2" t="s">
        <v>55</v>
      </c>
      <c r="J146" s="2" t="s">
        <v>57</v>
      </c>
      <c r="K146" s="4">
        <v>4</v>
      </c>
      <c r="L146" s="4">
        <v>161.30000000000001</v>
      </c>
      <c r="M146" s="4">
        <v>645.20000000000005</v>
      </c>
      <c r="N146" s="2" t="s">
        <v>26</v>
      </c>
    </row>
    <row r="147" spans="1:14" ht="15" x14ac:dyDescent="0.25">
      <c r="A147" s="2" t="s">
        <v>195</v>
      </c>
      <c r="B147" s="2" t="s">
        <v>45</v>
      </c>
      <c r="C147" s="2" t="s">
        <v>34</v>
      </c>
      <c r="D147" s="2" t="s">
        <v>17</v>
      </c>
      <c r="E147" s="3">
        <v>45056</v>
      </c>
      <c r="F147" s="3">
        <v>45065</v>
      </c>
      <c r="G147" s="4">
        <v>463</v>
      </c>
      <c r="H147" s="4">
        <v>9</v>
      </c>
      <c r="I147" s="2" t="s">
        <v>42</v>
      </c>
      <c r="J147" s="2" t="s">
        <v>25</v>
      </c>
      <c r="K147" s="4">
        <v>4</v>
      </c>
      <c r="L147" s="4">
        <v>338.28</v>
      </c>
      <c r="M147" s="4">
        <v>1353.12</v>
      </c>
      <c r="N147" s="2" t="s">
        <v>26</v>
      </c>
    </row>
    <row r="148" spans="1:14" ht="15" x14ac:dyDescent="0.25">
      <c r="A148" s="2" t="s">
        <v>196</v>
      </c>
      <c r="B148" s="2" t="s">
        <v>53</v>
      </c>
      <c r="C148" s="2" t="s">
        <v>29</v>
      </c>
      <c r="D148" s="2" t="s">
        <v>23</v>
      </c>
      <c r="E148" s="3">
        <v>45069</v>
      </c>
      <c r="F148" s="3">
        <v>45071</v>
      </c>
      <c r="G148" s="4">
        <v>287</v>
      </c>
      <c r="H148" s="4">
        <v>2</v>
      </c>
      <c r="I148" s="2" t="s">
        <v>18</v>
      </c>
      <c r="J148" s="2" t="s">
        <v>57</v>
      </c>
      <c r="K148" s="4">
        <v>1</v>
      </c>
      <c r="L148" s="4">
        <v>349.97</v>
      </c>
      <c r="M148" s="4">
        <v>349.97</v>
      </c>
      <c r="N148" s="2" t="s">
        <v>20</v>
      </c>
    </row>
    <row r="149" spans="1:14" ht="15" x14ac:dyDescent="0.25">
      <c r="A149" s="2" t="s">
        <v>197</v>
      </c>
      <c r="B149" s="2" t="s">
        <v>75</v>
      </c>
      <c r="C149" s="2" t="s">
        <v>46</v>
      </c>
      <c r="D149" s="2" t="s">
        <v>47</v>
      </c>
      <c r="E149" s="3">
        <v>45121</v>
      </c>
      <c r="F149" s="3">
        <v>45130</v>
      </c>
      <c r="G149" s="4">
        <v>668</v>
      </c>
      <c r="H149" s="4">
        <v>9</v>
      </c>
      <c r="I149" s="2" t="s">
        <v>63</v>
      </c>
      <c r="J149" s="2" t="s">
        <v>57</v>
      </c>
      <c r="K149" s="4">
        <v>4</v>
      </c>
      <c r="L149" s="4">
        <v>123.21</v>
      </c>
      <c r="M149" s="4">
        <v>492.84</v>
      </c>
      <c r="N149" s="2" t="s">
        <v>31</v>
      </c>
    </row>
    <row r="150" spans="1:14" ht="15" x14ac:dyDescent="0.25">
      <c r="A150" s="2" t="s">
        <v>198</v>
      </c>
      <c r="B150" s="2" t="s">
        <v>28</v>
      </c>
      <c r="C150" s="2" t="s">
        <v>76</v>
      </c>
      <c r="D150" s="2" t="s">
        <v>54</v>
      </c>
      <c r="E150" s="3">
        <v>44951</v>
      </c>
      <c r="F150" s="3">
        <v>44958</v>
      </c>
      <c r="G150" s="4">
        <v>642</v>
      </c>
      <c r="H150" s="4">
        <v>7</v>
      </c>
      <c r="I150" s="2" t="s">
        <v>51</v>
      </c>
      <c r="J150" s="2" t="s">
        <v>19</v>
      </c>
      <c r="K150" s="4">
        <v>3</v>
      </c>
      <c r="L150" s="4">
        <v>304.29000000000002</v>
      </c>
      <c r="M150" s="4">
        <v>912.87</v>
      </c>
      <c r="N150" s="2" t="s">
        <v>20</v>
      </c>
    </row>
    <row r="151" spans="1:14" ht="15" x14ac:dyDescent="0.25">
      <c r="A151" s="2" t="s">
        <v>199</v>
      </c>
      <c r="B151" s="2" t="s">
        <v>15</v>
      </c>
      <c r="C151" s="2" t="s">
        <v>16</v>
      </c>
      <c r="D151" s="2" t="s">
        <v>47</v>
      </c>
      <c r="E151" s="3">
        <v>45010</v>
      </c>
      <c r="F151" s="3">
        <v>45018</v>
      </c>
      <c r="G151" s="4">
        <v>695</v>
      </c>
      <c r="H151" s="4">
        <v>8</v>
      </c>
      <c r="I151" s="2" t="s">
        <v>63</v>
      </c>
      <c r="J151" s="2" t="s">
        <v>19</v>
      </c>
      <c r="K151" s="4">
        <v>2</v>
      </c>
      <c r="L151" s="4">
        <v>397.23</v>
      </c>
      <c r="M151" s="4">
        <v>794.46</v>
      </c>
      <c r="N151" s="2" t="s">
        <v>31</v>
      </c>
    </row>
    <row r="152" spans="1:14" ht="15" x14ac:dyDescent="0.25">
      <c r="A152" s="2" t="s">
        <v>200</v>
      </c>
      <c r="B152" s="2" t="s">
        <v>33</v>
      </c>
      <c r="C152" s="2" t="s">
        <v>61</v>
      </c>
      <c r="D152" s="2" t="s">
        <v>35</v>
      </c>
      <c r="E152" s="3">
        <v>45125</v>
      </c>
      <c r="F152" s="3">
        <v>45127</v>
      </c>
      <c r="G152" s="4">
        <v>763</v>
      </c>
      <c r="H152" s="4">
        <v>2</v>
      </c>
      <c r="I152" s="2" t="s">
        <v>18</v>
      </c>
      <c r="J152" s="2" t="s">
        <v>39</v>
      </c>
      <c r="K152" s="4">
        <v>4</v>
      </c>
      <c r="L152" s="4">
        <v>274.5</v>
      </c>
      <c r="M152" s="4">
        <v>1098</v>
      </c>
      <c r="N152" s="2" t="s">
        <v>20</v>
      </c>
    </row>
    <row r="153" spans="1:14" ht="15" x14ac:dyDescent="0.25">
      <c r="A153" s="2" t="s">
        <v>201</v>
      </c>
      <c r="B153" s="2" t="s">
        <v>75</v>
      </c>
      <c r="C153" s="2" t="s">
        <v>34</v>
      </c>
      <c r="D153" s="2" t="s">
        <v>47</v>
      </c>
      <c r="E153" s="3">
        <v>45084</v>
      </c>
      <c r="F153" s="3">
        <v>45091</v>
      </c>
      <c r="G153" s="4">
        <v>647</v>
      </c>
      <c r="H153" s="4">
        <v>7</v>
      </c>
      <c r="I153" s="2" t="s">
        <v>51</v>
      </c>
      <c r="J153" s="2" t="s">
        <v>57</v>
      </c>
      <c r="K153" s="4">
        <v>4</v>
      </c>
      <c r="L153" s="4">
        <v>55.45</v>
      </c>
      <c r="M153" s="4">
        <v>221.8</v>
      </c>
      <c r="N153" s="2" t="s">
        <v>31</v>
      </c>
    </row>
    <row r="154" spans="1:14" ht="15" x14ac:dyDescent="0.25">
      <c r="A154" s="2" t="s">
        <v>202</v>
      </c>
      <c r="B154" s="2" t="s">
        <v>15</v>
      </c>
      <c r="C154" s="2" t="s">
        <v>76</v>
      </c>
      <c r="D154" s="2" t="s">
        <v>35</v>
      </c>
      <c r="E154" s="3">
        <v>45048</v>
      </c>
      <c r="F154" s="3">
        <v>45054</v>
      </c>
      <c r="G154" s="4">
        <v>824</v>
      </c>
      <c r="H154" s="4">
        <v>6</v>
      </c>
      <c r="I154" s="2" t="s">
        <v>24</v>
      </c>
      <c r="J154" s="2" t="s">
        <v>57</v>
      </c>
      <c r="K154" s="4">
        <v>1</v>
      </c>
      <c r="L154" s="4">
        <v>54.07</v>
      </c>
      <c r="M154" s="4">
        <v>54.07</v>
      </c>
      <c r="N154" s="2" t="s">
        <v>26</v>
      </c>
    </row>
    <row r="155" spans="1:14" ht="15" x14ac:dyDescent="0.25">
      <c r="A155" s="2" t="s">
        <v>203</v>
      </c>
      <c r="B155" s="2" t="s">
        <v>53</v>
      </c>
      <c r="C155" s="2" t="s">
        <v>76</v>
      </c>
      <c r="D155" s="2" t="s">
        <v>54</v>
      </c>
      <c r="E155" s="3">
        <v>45193</v>
      </c>
      <c r="F155" s="3">
        <v>45197</v>
      </c>
      <c r="G155" s="4">
        <v>507</v>
      </c>
      <c r="H155" s="4">
        <v>4</v>
      </c>
      <c r="I155" s="2" t="s">
        <v>18</v>
      </c>
      <c r="J155" s="2" t="s">
        <v>49</v>
      </c>
      <c r="K155" s="4">
        <v>3</v>
      </c>
      <c r="L155" s="4">
        <v>210.66</v>
      </c>
      <c r="M155" s="4">
        <v>631.98</v>
      </c>
      <c r="N155" s="2" t="s">
        <v>26</v>
      </c>
    </row>
    <row r="156" spans="1:14" ht="15" x14ac:dyDescent="0.25">
      <c r="A156" s="2" t="s">
        <v>204</v>
      </c>
      <c r="B156" s="2" t="s">
        <v>41</v>
      </c>
      <c r="C156" s="2" t="s">
        <v>34</v>
      </c>
      <c r="D156" s="2" t="s">
        <v>17</v>
      </c>
      <c r="E156" s="3">
        <v>45180</v>
      </c>
      <c r="F156" s="3">
        <v>45187</v>
      </c>
      <c r="G156" s="4">
        <v>975</v>
      </c>
      <c r="H156" s="4">
        <v>7</v>
      </c>
      <c r="I156" s="2" t="s">
        <v>24</v>
      </c>
      <c r="J156" s="2" t="s">
        <v>19</v>
      </c>
      <c r="K156" s="4">
        <v>4</v>
      </c>
      <c r="L156" s="4">
        <v>466.79</v>
      </c>
      <c r="M156" s="4">
        <v>1867.16</v>
      </c>
      <c r="N156" s="2" t="s">
        <v>31</v>
      </c>
    </row>
    <row r="157" spans="1:14" ht="15" x14ac:dyDescent="0.25">
      <c r="A157" s="2" t="s">
        <v>205</v>
      </c>
      <c r="B157" s="2" t="s">
        <v>33</v>
      </c>
      <c r="C157" s="2" t="s">
        <v>34</v>
      </c>
      <c r="D157" s="2" t="s">
        <v>17</v>
      </c>
      <c r="E157" s="3">
        <v>44987</v>
      </c>
      <c r="F157" s="3">
        <v>44991</v>
      </c>
      <c r="G157" s="4">
        <v>717</v>
      </c>
      <c r="H157" s="4">
        <v>4</v>
      </c>
      <c r="I157" s="2" t="s">
        <v>24</v>
      </c>
      <c r="J157" s="2" t="s">
        <v>49</v>
      </c>
      <c r="K157" s="4">
        <v>1</v>
      </c>
      <c r="L157" s="4">
        <v>152.9</v>
      </c>
      <c r="M157" s="4">
        <v>152.9</v>
      </c>
      <c r="N157" s="2" t="s">
        <v>43</v>
      </c>
    </row>
    <row r="158" spans="1:14" ht="15" x14ac:dyDescent="0.25">
      <c r="A158" s="2" t="s">
        <v>206</v>
      </c>
      <c r="B158" s="2" t="s">
        <v>41</v>
      </c>
      <c r="C158" s="2" t="s">
        <v>37</v>
      </c>
      <c r="D158" s="2" t="s">
        <v>47</v>
      </c>
      <c r="E158" s="3">
        <v>45247</v>
      </c>
      <c r="F158" s="3">
        <v>45249</v>
      </c>
      <c r="G158" s="4">
        <v>513</v>
      </c>
      <c r="H158" s="4">
        <v>2</v>
      </c>
      <c r="I158" s="2" t="s">
        <v>63</v>
      </c>
      <c r="J158" s="2" t="s">
        <v>49</v>
      </c>
      <c r="K158" s="4">
        <v>4</v>
      </c>
      <c r="L158" s="4">
        <v>335.46</v>
      </c>
      <c r="M158" s="4">
        <v>1341.84</v>
      </c>
      <c r="N158" s="2" t="s">
        <v>31</v>
      </c>
    </row>
    <row r="159" spans="1:14" ht="15" x14ac:dyDescent="0.25">
      <c r="A159" s="2" t="s">
        <v>207</v>
      </c>
      <c r="B159" s="2" t="s">
        <v>28</v>
      </c>
      <c r="C159" s="2" t="s">
        <v>46</v>
      </c>
      <c r="D159" s="2" t="s">
        <v>47</v>
      </c>
      <c r="E159" s="3">
        <v>45107</v>
      </c>
      <c r="F159" s="3">
        <v>45114</v>
      </c>
      <c r="G159" s="4">
        <v>441</v>
      </c>
      <c r="H159" s="4">
        <v>7</v>
      </c>
      <c r="I159" s="2" t="s">
        <v>42</v>
      </c>
      <c r="J159" s="2" t="s">
        <v>19</v>
      </c>
      <c r="K159" s="4">
        <v>1</v>
      </c>
      <c r="L159" s="4">
        <v>149.93</v>
      </c>
      <c r="M159" s="4">
        <v>149.93</v>
      </c>
      <c r="N159" s="2" t="s">
        <v>31</v>
      </c>
    </row>
    <row r="160" spans="1:14" ht="15" x14ac:dyDescent="0.25">
      <c r="A160" s="2" t="s">
        <v>208</v>
      </c>
      <c r="B160" s="2" t="s">
        <v>15</v>
      </c>
      <c r="C160" s="2" t="s">
        <v>46</v>
      </c>
      <c r="D160" s="2" t="s">
        <v>35</v>
      </c>
      <c r="E160" s="3">
        <v>45197</v>
      </c>
      <c r="F160" s="3">
        <v>45205</v>
      </c>
      <c r="G160" s="4">
        <v>319</v>
      </c>
      <c r="H160" s="4">
        <v>8</v>
      </c>
      <c r="I160" s="2" t="s">
        <v>42</v>
      </c>
      <c r="J160" s="2" t="s">
        <v>19</v>
      </c>
      <c r="K160" s="4">
        <v>1</v>
      </c>
      <c r="L160" s="4">
        <v>194.75</v>
      </c>
      <c r="M160" s="4">
        <v>194.75</v>
      </c>
      <c r="N160" s="2" t="s">
        <v>20</v>
      </c>
    </row>
    <row r="161" spans="1:14" ht="15" x14ac:dyDescent="0.25">
      <c r="A161" s="2" t="s">
        <v>209</v>
      </c>
      <c r="B161" s="2" t="s">
        <v>28</v>
      </c>
      <c r="C161" s="2" t="s">
        <v>16</v>
      </c>
      <c r="D161" s="2" t="s">
        <v>35</v>
      </c>
      <c r="E161" s="3">
        <v>45136</v>
      </c>
      <c r="F161" s="3">
        <v>45138</v>
      </c>
      <c r="G161" s="4">
        <v>262</v>
      </c>
      <c r="H161" s="4">
        <v>2</v>
      </c>
      <c r="I161" s="2" t="s">
        <v>24</v>
      </c>
      <c r="J161" s="2" t="s">
        <v>25</v>
      </c>
      <c r="K161" s="4">
        <v>3</v>
      </c>
      <c r="L161" s="4">
        <v>431.62</v>
      </c>
      <c r="M161" s="4">
        <v>1294.8599999999999</v>
      </c>
      <c r="N161" s="2" t="s">
        <v>26</v>
      </c>
    </row>
    <row r="162" spans="1:14" ht="15" x14ac:dyDescent="0.25">
      <c r="A162" s="2" t="s">
        <v>210</v>
      </c>
      <c r="B162" s="2" t="s">
        <v>53</v>
      </c>
      <c r="C162" s="2" t="s">
        <v>46</v>
      </c>
      <c r="D162" s="2" t="s">
        <v>35</v>
      </c>
      <c r="E162" s="3">
        <v>45291</v>
      </c>
      <c r="F162" s="3">
        <v>45296</v>
      </c>
      <c r="G162" s="4">
        <v>319</v>
      </c>
      <c r="H162" s="4">
        <v>5</v>
      </c>
      <c r="I162" s="2" t="s">
        <v>42</v>
      </c>
      <c r="J162" s="2" t="s">
        <v>25</v>
      </c>
      <c r="K162" s="4">
        <v>4</v>
      </c>
      <c r="L162" s="4">
        <v>377.99</v>
      </c>
      <c r="M162" s="4">
        <v>1511.96</v>
      </c>
      <c r="N162" s="2" t="s">
        <v>20</v>
      </c>
    </row>
    <row r="163" spans="1:14" ht="15" x14ac:dyDescent="0.25">
      <c r="A163" s="2" t="s">
        <v>211</v>
      </c>
      <c r="B163" s="2" t="s">
        <v>41</v>
      </c>
      <c r="C163" s="2" t="s">
        <v>34</v>
      </c>
      <c r="D163" s="2" t="s">
        <v>54</v>
      </c>
      <c r="E163" s="3">
        <v>45201</v>
      </c>
      <c r="F163" s="3">
        <v>45202</v>
      </c>
      <c r="G163" s="4">
        <v>369</v>
      </c>
      <c r="H163" s="4">
        <v>1</v>
      </c>
      <c r="I163" s="2" t="s">
        <v>55</v>
      </c>
      <c r="J163" s="2" t="s">
        <v>57</v>
      </c>
      <c r="K163" s="4">
        <v>3</v>
      </c>
      <c r="L163" s="4">
        <v>92.93</v>
      </c>
      <c r="M163" s="4">
        <v>278.79000000000002</v>
      </c>
      <c r="N163" s="2" t="s">
        <v>20</v>
      </c>
    </row>
    <row r="164" spans="1:14" ht="15" x14ac:dyDescent="0.25">
      <c r="A164" s="2" t="s">
        <v>212</v>
      </c>
      <c r="B164" s="2" t="s">
        <v>33</v>
      </c>
      <c r="C164" s="2" t="s">
        <v>46</v>
      </c>
      <c r="D164" s="2" t="s">
        <v>17</v>
      </c>
      <c r="E164" s="3">
        <v>45185</v>
      </c>
      <c r="F164" s="3">
        <v>45192</v>
      </c>
      <c r="G164" s="4">
        <v>731</v>
      </c>
      <c r="H164" s="4">
        <v>7</v>
      </c>
      <c r="I164" s="2" t="s">
        <v>30</v>
      </c>
      <c r="J164" s="2" t="s">
        <v>19</v>
      </c>
      <c r="K164" s="4">
        <v>1</v>
      </c>
      <c r="L164" s="4">
        <v>242.92</v>
      </c>
      <c r="M164" s="4">
        <v>242.92</v>
      </c>
      <c r="N164" s="2" t="s">
        <v>20</v>
      </c>
    </row>
    <row r="165" spans="1:14" ht="15" x14ac:dyDescent="0.25">
      <c r="A165" s="2" t="s">
        <v>213</v>
      </c>
      <c r="B165" s="2" t="s">
        <v>53</v>
      </c>
      <c r="C165" s="2" t="s">
        <v>34</v>
      </c>
      <c r="D165" s="2" t="s">
        <v>54</v>
      </c>
      <c r="E165" s="3">
        <v>45211</v>
      </c>
      <c r="F165" s="3">
        <v>45219</v>
      </c>
      <c r="G165" s="4">
        <v>947</v>
      </c>
      <c r="H165" s="4">
        <v>8</v>
      </c>
      <c r="I165" s="2" t="s">
        <v>42</v>
      </c>
      <c r="J165" s="2" t="s">
        <v>57</v>
      </c>
      <c r="K165" s="4">
        <v>2</v>
      </c>
      <c r="L165" s="4">
        <v>63.13</v>
      </c>
      <c r="M165" s="4">
        <v>126.26</v>
      </c>
      <c r="N165" s="2" t="s">
        <v>43</v>
      </c>
    </row>
    <row r="166" spans="1:14" ht="15" x14ac:dyDescent="0.25">
      <c r="A166" s="2" t="s">
        <v>214</v>
      </c>
      <c r="B166" s="2" t="s">
        <v>41</v>
      </c>
      <c r="C166" s="2" t="s">
        <v>76</v>
      </c>
      <c r="D166" s="2" t="s">
        <v>17</v>
      </c>
      <c r="E166" s="3">
        <v>44979</v>
      </c>
      <c r="F166" s="3">
        <v>44985</v>
      </c>
      <c r="G166" s="4">
        <v>499</v>
      </c>
      <c r="H166" s="4">
        <v>6</v>
      </c>
      <c r="I166" s="2" t="s">
        <v>55</v>
      </c>
      <c r="J166" s="2" t="s">
        <v>25</v>
      </c>
      <c r="K166" s="4">
        <v>4</v>
      </c>
      <c r="L166" s="4">
        <v>266.39999999999998</v>
      </c>
      <c r="M166" s="4">
        <v>1065.5999999999999</v>
      </c>
      <c r="N166" s="2" t="s">
        <v>20</v>
      </c>
    </row>
    <row r="167" spans="1:14" ht="15" x14ac:dyDescent="0.25">
      <c r="A167" s="2" t="s">
        <v>215</v>
      </c>
      <c r="B167" s="2" t="s">
        <v>22</v>
      </c>
      <c r="C167" s="2" t="s">
        <v>37</v>
      </c>
      <c r="D167" s="2" t="s">
        <v>54</v>
      </c>
      <c r="E167" s="3">
        <v>45001</v>
      </c>
      <c r="F167" s="3">
        <v>45006</v>
      </c>
      <c r="G167" s="4">
        <v>281</v>
      </c>
      <c r="H167" s="4">
        <v>5</v>
      </c>
      <c r="I167" s="2" t="s">
        <v>55</v>
      </c>
      <c r="J167" s="2" t="s">
        <v>49</v>
      </c>
      <c r="K167" s="4">
        <v>2</v>
      </c>
      <c r="L167" s="4">
        <v>348.1</v>
      </c>
      <c r="M167" s="4">
        <v>696.2</v>
      </c>
      <c r="N167" s="2" t="s">
        <v>26</v>
      </c>
    </row>
    <row r="168" spans="1:14" ht="15" x14ac:dyDescent="0.25">
      <c r="A168" s="2" t="s">
        <v>216</v>
      </c>
      <c r="B168" s="2" t="s">
        <v>53</v>
      </c>
      <c r="C168" s="2" t="s">
        <v>61</v>
      </c>
      <c r="D168" s="2" t="s">
        <v>54</v>
      </c>
      <c r="E168" s="3">
        <v>45187</v>
      </c>
      <c r="F168" s="3">
        <v>45193</v>
      </c>
      <c r="G168" s="4">
        <v>717</v>
      </c>
      <c r="H168" s="4">
        <v>6</v>
      </c>
      <c r="I168" s="2" t="s">
        <v>63</v>
      </c>
      <c r="J168" s="2" t="s">
        <v>57</v>
      </c>
      <c r="K168" s="4">
        <v>4</v>
      </c>
      <c r="L168" s="4">
        <v>103.33</v>
      </c>
      <c r="M168" s="4">
        <v>413.32</v>
      </c>
      <c r="N168" s="2" t="s">
        <v>31</v>
      </c>
    </row>
    <row r="169" spans="1:14" ht="15" x14ac:dyDescent="0.25">
      <c r="A169" s="2" t="s">
        <v>217</v>
      </c>
      <c r="B169" s="2" t="s">
        <v>45</v>
      </c>
      <c r="C169" s="2" t="s">
        <v>16</v>
      </c>
      <c r="D169" s="2" t="s">
        <v>23</v>
      </c>
      <c r="E169" s="3">
        <v>45107</v>
      </c>
      <c r="F169" s="3">
        <v>45109</v>
      </c>
      <c r="G169" s="4">
        <v>828</v>
      </c>
      <c r="H169" s="4">
        <v>2</v>
      </c>
      <c r="I169" s="2" t="s">
        <v>63</v>
      </c>
      <c r="J169" s="2" t="s">
        <v>25</v>
      </c>
      <c r="K169" s="4">
        <v>3</v>
      </c>
      <c r="L169" s="4">
        <v>180</v>
      </c>
      <c r="M169" s="4">
        <v>540</v>
      </c>
      <c r="N169" s="2" t="s">
        <v>43</v>
      </c>
    </row>
    <row r="170" spans="1:14" ht="15" x14ac:dyDescent="0.25">
      <c r="A170" s="2" t="s">
        <v>218</v>
      </c>
      <c r="B170" s="2" t="s">
        <v>33</v>
      </c>
      <c r="C170" s="2" t="s">
        <v>34</v>
      </c>
      <c r="D170" s="2" t="s">
        <v>54</v>
      </c>
      <c r="E170" s="3">
        <v>45202</v>
      </c>
      <c r="F170" s="3">
        <v>45203</v>
      </c>
      <c r="G170" s="4">
        <v>304</v>
      </c>
      <c r="H170" s="4">
        <v>1</v>
      </c>
      <c r="I170" s="2" t="s">
        <v>51</v>
      </c>
      <c r="J170" s="2" t="s">
        <v>19</v>
      </c>
      <c r="K170" s="4">
        <v>3</v>
      </c>
      <c r="L170" s="4">
        <v>229.03</v>
      </c>
      <c r="M170" s="4">
        <v>687.09</v>
      </c>
      <c r="N170" s="2" t="s">
        <v>20</v>
      </c>
    </row>
    <row r="171" spans="1:14" ht="15" x14ac:dyDescent="0.25">
      <c r="A171" s="2" t="s">
        <v>219</v>
      </c>
      <c r="B171" s="2" t="s">
        <v>22</v>
      </c>
      <c r="C171" s="2" t="s">
        <v>34</v>
      </c>
      <c r="D171" s="2" t="s">
        <v>54</v>
      </c>
      <c r="E171" s="3">
        <v>44964</v>
      </c>
      <c r="F171" s="3">
        <v>44971</v>
      </c>
      <c r="G171" s="4">
        <v>681</v>
      </c>
      <c r="H171" s="4">
        <v>7</v>
      </c>
      <c r="I171" s="2" t="s">
        <v>55</v>
      </c>
      <c r="J171" s="2" t="s">
        <v>57</v>
      </c>
      <c r="K171" s="4">
        <v>3</v>
      </c>
      <c r="L171" s="4">
        <v>463.79</v>
      </c>
      <c r="M171" s="4">
        <v>1391.37</v>
      </c>
      <c r="N171" s="2" t="s">
        <v>20</v>
      </c>
    </row>
    <row r="172" spans="1:14" ht="15" x14ac:dyDescent="0.25">
      <c r="A172" s="2" t="s">
        <v>220</v>
      </c>
      <c r="B172" s="2" t="s">
        <v>22</v>
      </c>
      <c r="C172" s="2" t="s">
        <v>16</v>
      </c>
      <c r="D172" s="2" t="s">
        <v>35</v>
      </c>
      <c r="E172" s="3">
        <v>45122</v>
      </c>
      <c r="F172" s="3">
        <v>45129</v>
      </c>
      <c r="G172" s="4">
        <v>655</v>
      </c>
      <c r="H172" s="4">
        <v>7</v>
      </c>
      <c r="I172" s="2" t="s">
        <v>30</v>
      </c>
      <c r="J172" s="2" t="s">
        <v>57</v>
      </c>
      <c r="K172" s="4">
        <v>3</v>
      </c>
      <c r="L172" s="4">
        <v>496.96</v>
      </c>
      <c r="M172" s="4">
        <v>1490.88</v>
      </c>
      <c r="N172" s="2" t="s">
        <v>20</v>
      </c>
    </row>
    <row r="173" spans="1:14" ht="15" x14ac:dyDescent="0.25">
      <c r="A173" s="2" t="s">
        <v>221</v>
      </c>
      <c r="B173" s="2" t="s">
        <v>41</v>
      </c>
      <c r="C173" s="2" t="s">
        <v>29</v>
      </c>
      <c r="D173" s="2" t="s">
        <v>47</v>
      </c>
      <c r="E173" s="3">
        <v>45065</v>
      </c>
      <c r="F173" s="3">
        <v>45067</v>
      </c>
      <c r="G173" s="4">
        <v>940</v>
      </c>
      <c r="H173" s="4">
        <v>2</v>
      </c>
      <c r="I173" s="2" t="s">
        <v>63</v>
      </c>
      <c r="J173" s="2" t="s">
        <v>19</v>
      </c>
      <c r="K173" s="4">
        <v>3</v>
      </c>
      <c r="L173" s="4">
        <v>70.209999999999994</v>
      </c>
      <c r="M173" s="4">
        <v>210.63</v>
      </c>
      <c r="N173" s="2" t="s">
        <v>26</v>
      </c>
    </row>
    <row r="174" spans="1:14" ht="15" x14ac:dyDescent="0.25">
      <c r="A174" s="2" t="s">
        <v>222</v>
      </c>
      <c r="B174" s="2" t="s">
        <v>75</v>
      </c>
      <c r="C174" s="2" t="s">
        <v>61</v>
      </c>
      <c r="D174" s="2" t="s">
        <v>17</v>
      </c>
      <c r="E174" s="3">
        <v>45093</v>
      </c>
      <c r="F174" s="3">
        <v>45095</v>
      </c>
      <c r="G174" s="4">
        <v>912</v>
      </c>
      <c r="H174" s="4">
        <v>2</v>
      </c>
      <c r="I174" s="2" t="s">
        <v>63</v>
      </c>
      <c r="J174" s="2" t="s">
        <v>39</v>
      </c>
      <c r="K174" s="4">
        <v>2</v>
      </c>
      <c r="L174" s="4">
        <v>392.45</v>
      </c>
      <c r="M174" s="4">
        <v>784.9</v>
      </c>
      <c r="N174" s="2" t="s">
        <v>26</v>
      </c>
    </row>
    <row r="175" spans="1:14" ht="15" x14ac:dyDescent="0.25">
      <c r="A175" s="2" t="s">
        <v>223</v>
      </c>
      <c r="B175" s="2" t="s">
        <v>33</v>
      </c>
      <c r="C175" s="2" t="s">
        <v>61</v>
      </c>
      <c r="D175" s="2" t="s">
        <v>17</v>
      </c>
      <c r="E175" s="3">
        <v>45147</v>
      </c>
      <c r="F175" s="3">
        <v>45148</v>
      </c>
      <c r="G175" s="4">
        <v>327</v>
      </c>
      <c r="H175" s="4">
        <v>1</v>
      </c>
      <c r="I175" s="2" t="s">
        <v>18</v>
      </c>
      <c r="J175" s="2" t="s">
        <v>57</v>
      </c>
      <c r="K175" s="4">
        <v>3</v>
      </c>
      <c r="L175" s="4">
        <v>217.28</v>
      </c>
      <c r="M175" s="4">
        <v>651.84</v>
      </c>
      <c r="N175" s="2" t="s">
        <v>26</v>
      </c>
    </row>
    <row r="176" spans="1:14" ht="15" x14ac:dyDescent="0.25">
      <c r="A176" s="2" t="s">
        <v>224</v>
      </c>
      <c r="B176" s="2" t="s">
        <v>28</v>
      </c>
      <c r="C176" s="2" t="s">
        <v>29</v>
      </c>
      <c r="D176" s="2" t="s">
        <v>17</v>
      </c>
      <c r="E176" s="3">
        <v>45110</v>
      </c>
      <c r="F176" s="3">
        <v>45118</v>
      </c>
      <c r="G176" s="4">
        <v>795</v>
      </c>
      <c r="H176" s="4">
        <v>8</v>
      </c>
      <c r="I176" s="2" t="s">
        <v>55</v>
      </c>
      <c r="J176" s="2" t="s">
        <v>57</v>
      </c>
      <c r="K176" s="4">
        <v>1</v>
      </c>
      <c r="L176" s="4">
        <v>226.61</v>
      </c>
      <c r="M176" s="4">
        <v>226.61</v>
      </c>
      <c r="N176" s="2" t="s">
        <v>20</v>
      </c>
    </row>
    <row r="177" spans="1:14" ht="15" x14ac:dyDescent="0.25">
      <c r="A177" s="2" t="s">
        <v>225</v>
      </c>
      <c r="B177" s="2" t="s">
        <v>45</v>
      </c>
      <c r="C177" s="2" t="s">
        <v>37</v>
      </c>
      <c r="D177" s="2" t="s">
        <v>54</v>
      </c>
      <c r="E177" s="3">
        <v>45124</v>
      </c>
      <c r="F177" s="3">
        <v>45132</v>
      </c>
      <c r="G177" s="4">
        <v>718</v>
      </c>
      <c r="H177" s="4">
        <v>8</v>
      </c>
      <c r="I177" s="2" t="s">
        <v>55</v>
      </c>
      <c r="J177" s="2" t="s">
        <v>25</v>
      </c>
      <c r="K177" s="4">
        <v>1</v>
      </c>
      <c r="L177" s="4">
        <v>389.42</v>
      </c>
      <c r="M177" s="4">
        <v>389.42</v>
      </c>
      <c r="N177" s="2" t="s">
        <v>31</v>
      </c>
    </row>
    <row r="178" spans="1:14" ht="15" x14ac:dyDescent="0.25">
      <c r="A178" s="2" t="s">
        <v>226</v>
      </c>
      <c r="B178" s="2" t="s">
        <v>75</v>
      </c>
      <c r="C178" s="2" t="s">
        <v>16</v>
      </c>
      <c r="D178" s="2" t="s">
        <v>54</v>
      </c>
      <c r="E178" s="3">
        <v>45104</v>
      </c>
      <c r="F178" s="3">
        <v>45105</v>
      </c>
      <c r="G178" s="4">
        <v>695</v>
      </c>
      <c r="H178" s="4">
        <v>1</v>
      </c>
      <c r="I178" s="2" t="s">
        <v>51</v>
      </c>
      <c r="J178" s="2" t="s">
        <v>25</v>
      </c>
      <c r="K178" s="4">
        <v>2</v>
      </c>
      <c r="L178" s="4">
        <v>463.29</v>
      </c>
      <c r="M178" s="4">
        <v>926.58</v>
      </c>
      <c r="N178" s="2" t="s">
        <v>43</v>
      </c>
    </row>
    <row r="179" spans="1:14" ht="15" x14ac:dyDescent="0.25">
      <c r="A179" s="2" t="s">
        <v>227</v>
      </c>
      <c r="B179" s="2" t="s">
        <v>33</v>
      </c>
      <c r="C179" s="2" t="s">
        <v>29</v>
      </c>
      <c r="D179" s="2" t="s">
        <v>17</v>
      </c>
      <c r="E179" s="3">
        <v>45076</v>
      </c>
      <c r="F179" s="3">
        <v>45084</v>
      </c>
      <c r="G179" s="4">
        <v>949</v>
      </c>
      <c r="H179" s="4">
        <v>8</v>
      </c>
      <c r="I179" s="2" t="s">
        <v>51</v>
      </c>
      <c r="J179" s="2" t="s">
        <v>39</v>
      </c>
      <c r="K179" s="4">
        <v>4</v>
      </c>
      <c r="L179" s="4">
        <v>477.92</v>
      </c>
      <c r="M179" s="4">
        <v>1911.68</v>
      </c>
      <c r="N179" s="2" t="s">
        <v>31</v>
      </c>
    </row>
    <row r="180" spans="1:14" ht="15" x14ac:dyDescent="0.25">
      <c r="A180" s="2" t="s">
        <v>228</v>
      </c>
      <c r="B180" s="2" t="s">
        <v>28</v>
      </c>
      <c r="C180" s="2" t="s">
        <v>34</v>
      </c>
      <c r="D180" s="2" t="s">
        <v>23</v>
      </c>
      <c r="E180" s="3">
        <v>45208</v>
      </c>
      <c r="F180" s="3">
        <v>45217</v>
      </c>
      <c r="G180" s="4">
        <v>349</v>
      </c>
      <c r="H180" s="4">
        <v>9</v>
      </c>
      <c r="I180" s="2" t="s">
        <v>51</v>
      </c>
      <c r="J180" s="2" t="s">
        <v>25</v>
      </c>
      <c r="K180" s="4">
        <v>1</v>
      </c>
      <c r="L180" s="4">
        <v>309.70999999999998</v>
      </c>
      <c r="M180" s="4">
        <v>309.70999999999998</v>
      </c>
      <c r="N180" s="2" t="s">
        <v>31</v>
      </c>
    </row>
    <row r="181" spans="1:14" ht="15" x14ac:dyDescent="0.25">
      <c r="A181" s="2" t="s">
        <v>229</v>
      </c>
      <c r="B181" s="2" t="s">
        <v>75</v>
      </c>
      <c r="C181" s="2" t="s">
        <v>16</v>
      </c>
      <c r="D181" s="2" t="s">
        <v>17</v>
      </c>
      <c r="E181" s="3">
        <v>44931</v>
      </c>
      <c r="F181" s="3">
        <v>44935</v>
      </c>
      <c r="G181" s="4">
        <v>974</v>
      </c>
      <c r="H181" s="4">
        <v>4</v>
      </c>
      <c r="I181" s="2" t="s">
        <v>24</v>
      </c>
      <c r="J181" s="2" t="s">
        <v>57</v>
      </c>
      <c r="K181" s="4">
        <v>4</v>
      </c>
      <c r="L181" s="4">
        <v>210.7</v>
      </c>
      <c r="M181" s="4">
        <v>842.8</v>
      </c>
      <c r="N181" s="2" t="s">
        <v>31</v>
      </c>
    </row>
    <row r="182" spans="1:14" ht="15" x14ac:dyDescent="0.25">
      <c r="A182" s="2" t="s">
        <v>230</v>
      </c>
      <c r="B182" s="2" t="s">
        <v>45</v>
      </c>
      <c r="C182" s="2" t="s">
        <v>46</v>
      </c>
      <c r="D182" s="2" t="s">
        <v>23</v>
      </c>
      <c r="E182" s="3">
        <v>45145</v>
      </c>
      <c r="F182" s="3">
        <v>45146</v>
      </c>
      <c r="G182" s="4">
        <v>540</v>
      </c>
      <c r="H182" s="4">
        <v>1</v>
      </c>
      <c r="I182" s="2" t="s">
        <v>55</v>
      </c>
      <c r="J182" s="2" t="s">
        <v>19</v>
      </c>
      <c r="K182" s="4">
        <v>2</v>
      </c>
      <c r="L182" s="4">
        <v>404.4</v>
      </c>
      <c r="M182" s="4">
        <v>808.8</v>
      </c>
      <c r="N182" s="2" t="s">
        <v>20</v>
      </c>
    </row>
    <row r="183" spans="1:14" ht="15" x14ac:dyDescent="0.25">
      <c r="A183" s="2" t="s">
        <v>231</v>
      </c>
      <c r="B183" s="2" t="s">
        <v>41</v>
      </c>
      <c r="C183" s="2" t="s">
        <v>29</v>
      </c>
      <c r="D183" s="2" t="s">
        <v>17</v>
      </c>
      <c r="E183" s="3">
        <v>45133</v>
      </c>
      <c r="F183" s="3">
        <v>45134</v>
      </c>
      <c r="G183" s="4">
        <v>632</v>
      </c>
      <c r="H183" s="4">
        <v>1</v>
      </c>
      <c r="I183" s="2" t="s">
        <v>18</v>
      </c>
      <c r="J183" s="2" t="s">
        <v>49</v>
      </c>
      <c r="K183" s="4">
        <v>4</v>
      </c>
      <c r="L183" s="4">
        <v>162.94999999999999</v>
      </c>
      <c r="M183" s="4">
        <v>651.79999999999995</v>
      </c>
      <c r="N183" s="2" t="s">
        <v>43</v>
      </c>
    </row>
    <row r="184" spans="1:14" ht="15" x14ac:dyDescent="0.25">
      <c r="A184" s="2" t="s">
        <v>232</v>
      </c>
      <c r="B184" s="2" t="s">
        <v>28</v>
      </c>
      <c r="C184" s="2" t="s">
        <v>76</v>
      </c>
      <c r="D184" s="2" t="s">
        <v>47</v>
      </c>
      <c r="E184" s="3">
        <v>45188</v>
      </c>
      <c r="F184" s="3">
        <v>45191</v>
      </c>
      <c r="G184" s="4">
        <v>295</v>
      </c>
      <c r="H184" s="4">
        <v>3</v>
      </c>
      <c r="I184" s="2" t="s">
        <v>42</v>
      </c>
      <c r="J184" s="2" t="s">
        <v>57</v>
      </c>
      <c r="K184" s="4">
        <v>4</v>
      </c>
      <c r="L184" s="4">
        <v>303.83</v>
      </c>
      <c r="M184" s="4">
        <v>1215.32</v>
      </c>
      <c r="N184" s="2" t="s">
        <v>26</v>
      </c>
    </row>
    <row r="185" spans="1:14" ht="15" x14ac:dyDescent="0.25">
      <c r="A185" s="2" t="s">
        <v>233</v>
      </c>
      <c r="B185" s="2" t="s">
        <v>28</v>
      </c>
      <c r="C185" s="2" t="s">
        <v>61</v>
      </c>
      <c r="D185" s="2" t="s">
        <v>54</v>
      </c>
      <c r="E185" s="3">
        <v>45145</v>
      </c>
      <c r="F185" s="3">
        <v>45150</v>
      </c>
      <c r="G185" s="4">
        <v>789</v>
      </c>
      <c r="H185" s="4">
        <v>5</v>
      </c>
      <c r="I185" s="2" t="s">
        <v>30</v>
      </c>
      <c r="J185" s="2" t="s">
        <v>57</v>
      </c>
      <c r="K185" s="4">
        <v>4</v>
      </c>
      <c r="L185" s="4">
        <v>211.36</v>
      </c>
      <c r="M185" s="4">
        <v>845.44</v>
      </c>
      <c r="N185" s="2" t="s">
        <v>43</v>
      </c>
    </row>
    <row r="186" spans="1:14" ht="15" x14ac:dyDescent="0.25">
      <c r="A186" s="2" t="s">
        <v>234</v>
      </c>
      <c r="B186" s="2" t="s">
        <v>45</v>
      </c>
      <c r="C186" s="2" t="s">
        <v>16</v>
      </c>
      <c r="D186" s="2" t="s">
        <v>17</v>
      </c>
      <c r="E186" s="3">
        <v>45228</v>
      </c>
      <c r="F186" s="3">
        <v>45233</v>
      </c>
      <c r="G186" s="4">
        <v>618</v>
      </c>
      <c r="H186" s="4">
        <v>5</v>
      </c>
      <c r="I186" s="2" t="s">
        <v>42</v>
      </c>
      <c r="J186" s="2" t="s">
        <v>25</v>
      </c>
      <c r="K186" s="4">
        <v>4</v>
      </c>
      <c r="L186" s="4">
        <v>345.48</v>
      </c>
      <c r="M186" s="4">
        <v>1381.92</v>
      </c>
      <c r="N186" s="2" t="s">
        <v>43</v>
      </c>
    </row>
    <row r="187" spans="1:14" ht="15" x14ac:dyDescent="0.25">
      <c r="A187" s="2" t="s">
        <v>235</v>
      </c>
      <c r="B187" s="2" t="s">
        <v>53</v>
      </c>
      <c r="C187" s="2" t="s">
        <v>46</v>
      </c>
      <c r="D187" s="2" t="s">
        <v>23</v>
      </c>
      <c r="E187" s="3">
        <v>45277</v>
      </c>
      <c r="F187" s="3">
        <v>45286</v>
      </c>
      <c r="G187" s="4">
        <v>169</v>
      </c>
      <c r="H187" s="4">
        <v>9</v>
      </c>
      <c r="I187" s="2" t="s">
        <v>55</v>
      </c>
      <c r="J187" s="2" t="s">
        <v>25</v>
      </c>
      <c r="K187" s="4">
        <v>2</v>
      </c>
      <c r="L187" s="4">
        <v>158.18</v>
      </c>
      <c r="M187" s="4">
        <v>316.36</v>
      </c>
      <c r="N187" s="2" t="s">
        <v>26</v>
      </c>
    </row>
    <row r="188" spans="1:14" ht="15" x14ac:dyDescent="0.25">
      <c r="A188" s="2" t="s">
        <v>236</v>
      </c>
      <c r="B188" s="2" t="s">
        <v>75</v>
      </c>
      <c r="C188" s="2" t="s">
        <v>61</v>
      </c>
      <c r="D188" s="2" t="s">
        <v>17</v>
      </c>
      <c r="E188" s="3">
        <v>45052</v>
      </c>
      <c r="F188" s="3">
        <v>45054</v>
      </c>
      <c r="G188" s="4">
        <v>738</v>
      </c>
      <c r="H188" s="4">
        <v>2</v>
      </c>
      <c r="I188" s="2" t="s">
        <v>24</v>
      </c>
      <c r="J188" s="2" t="s">
        <v>57</v>
      </c>
      <c r="K188" s="4">
        <v>1</v>
      </c>
      <c r="L188" s="4">
        <v>136.22</v>
      </c>
      <c r="M188" s="4">
        <v>136.22</v>
      </c>
      <c r="N188" s="2" t="s">
        <v>20</v>
      </c>
    </row>
    <row r="189" spans="1:14" ht="15" x14ac:dyDescent="0.25">
      <c r="A189" s="2" t="s">
        <v>237</v>
      </c>
      <c r="B189" s="2" t="s">
        <v>15</v>
      </c>
      <c r="C189" s="2" t="s">
        <v>46</v>
      </c>
      <c r="D189" s="2" t="s">
        <v>47</v>
      </c>
      <c r="E189" s="3">
        <v>45009</v>
      </c>
      <c r="F189" s="3">
        <v>45011</v>
      </c>
      <c r="G189" s="4">
        <v>498</v>
      </c>
      <c r="H189" s="4">
        <v>2</v>
      </c>
      <c r="I189" s="2" t="s">
        <v>63</v>
      </c>
      <c r="J189" s="2" t="s">
        <v>57</v>
      </c>
      <c r="K189" s="4">
        <v>3</v>
      </c>
      <c r="L189" s="4">
        <v>463.21</v>
      </c>
      <c r="M189" s="4">
        <v>1389.63</v>
      </c>
      <c r="N189" s="2" t="s">
        <v>20</v>
      </c>
    </row>
    <row r="190" spans="1:14" ht="15" x14ac:dyDescent="0.25">
      <c r="A190" s="2" t="s">
        <v>238</v>
      </c>
      <c r="B190" s="2" t="s">
        <v>22</v>
      </c>
      <c r="C190" s="2" t="s">
        <v>76</v>
      </c>
      <c r="D190" s="2" t="s">
        <v>35</v>
      </c>
      <c r="E190" s="3">
        <v>45081</v>
      </c>
      <c r="F190" s="3">
        <v>45087</v>
      </c>
      <c r="G190" s="4">
        <v>771</v>
      </c>
      <c r="H190" s="4">
        <v>6</v>
      </c>
      <c r="I190" s="2" t="s">
        <v>30</v>
      </c>
      <c r="J190" s="2" t="s">
        <v>25</v>
      </c>
      <c r="K190" s="4">
        <v>4</v>
      </c>
      <c r="L190" s="4">
        <v>95.81</v>
      </c>
      <c r="M190" s="4">
        <v>383.24</v>
      </c>
      <c r="N190" s="2" t="s">
        <v>20</v>
      </c>
    </row>
    <row r="191" spans="1:14" ht="15" x14ac:dyDescent="0.25">
      <c r="A191" s="2" t="s">
        <v>239</v>
      </c>
      <c r="B191" s="2" t="s">
        <v>22</v>
      </c>
      <c r="C191" s="2" t="s">
        <v>76</v>
      </c>
      <c r="D191" s="2" t="s">
        <v>17</v>
      </c>
      <c r="E191" s="3">
        <v>45032</v>
      </c>
      <c r="F191" s="3">
        <v>45041</v>
      </c>
      <c r="G191" s="4">
        <v>859</v>
      </c>
      <c r="H191" s="4">
        <v>9</v>
      </c>
      <c r="I191" s="2" t="s">
        <v>55</v>
      </c>
      <c r="J191" s="2" t="s">
        <v>57</v>
      </c>
      <c r="K191" s="4">
        <v>1</v>
      </c>
      <c r="L191" s="4">
        <v>277.68</v>
      </c>
      <c r="M191" s="4">
        <v>277.68</v>
      </c>
      <c r="N191" s="2" t="s">
        <v>31</v>
      </c>
    </row>
    <row r="192" spans="1:14" ht="15" x14ac:dyDescent="0.25">
      <c r="A192" s="2" t="s">
        <v>240</v>
      </c>
      <c r="B192" s="2" t="s">
        <v>45</v>
      </c>
      <c r="C192" s="2" t="s">
        <v>61</v>
      </c>
      <c r="D192" s="2" t="s">
        <v>35</v>
      </c>
      <c r="E192" s="3">
        <v>45151</v>
      </c>
      <c r="F192" s="3">
        <v>45152</v>
      </c>
      <c r="G192" s="4">
        <v>302</v>
      </c>
      <c r="H192" s="4">
        <v>1</v>
      </c>
      <c r="I192" s="2" t="s">
        <v>24</v>
      </c>
      <c r="J192" s="2" t="s">
        <v>25</v>
      </c>
      <c r="K192" s="4">
        <v>1</v>
      </c>
      <c r="L192" s="4">
        <v>149.38</v>
      </c>
      <c r="M192" s="4">
        <v>149.38</v>
      </c>
      <c r="N192" s="2" t="s">
        <v>31</v>
      </c>
    </row>
    <row r="193" spans="1:14" ht="15" x14ac:dyDescent="0.25">
      <c r="A193" s="2" t="s">
        <v>241</v>
      </c>
      <c r="B193" s="2" t="s">
        <v>28</v>
      </c>
      <c r="C193" s="2" t="s">
        <v>76</v>
      </c>
      <c r="D193" s="2" t="s">
        <v>47</v>
      </c>
      <c r="E193" s="3">
        <v>45259</v>
      </c>
      <c r="F193" s="3">
        <v>45268</v>
      </c>
      <c r="G193" s="4">
        <v>247</v>
      </c>
      <c r="H193" s="4">
        <v>9</v>
      </c>
      <c r="I193" s="2" t="s">
        <v>42</v>
      </c>
      <c r="J193" s="2" t="s">
        <v>25</v>
      </c>
      <c r="K193" s="4">
        <v>2</v>
      </c>
      <c r="L193" s="4">
        <v>67.52</v>
      </c>
      <c r="M193" s="4">
        <v>135.04</v>
      </c>
      <c r="N193" s="2" t="s">
        <v>26</v>
      </c>
    </row>
    <row r="194" spans="1:14" ht="15" x14ac:dyDescent="0.25">
      <c r="A194" s="2" t="s">
        <v>242</v>
      </c>
      <c r="B194" s="2" t="s">
        <v>33</v>
      </c>
      <c r="C194" s="2" t="s">
        <v>16</v>
      </c>
      <c r="D194" s="2" t="s">
        <v>17</v>
      </c>
      <c r="E194" s="3">
        <v>44977</v>
      </c>
      <c r="F194" s="3">
        <v>44986</v>
      </c>
      <c r="G194" s="4">
        <v>571</v>
      </c>
      <c r="H194" s="4">
        <v>9</v>
      </c>
      <c r="I194" s="2" t="s">
        <v>51</v>
      </c>
      <c r="J194" s="2" t="s">
        <v>49</v>
      </c>
      <c r="K194" s="4">
        <v>1</v>
      </c>
      <c r="L194" s="4">
        <v>66.209999999999994</v>
      </c>
      <c r="M194" s="4">
        <v>66.209999999999994</v>
      </c>
      <c r="N194" s="2" t="s">
        <v>26</v>
      </c>
    </row>
    <row r="195" spans="1:14" ht="15" x14ac:dyDescent="0.25">
      <c r="A195" s="2" t="s">
        <v>243</v>
      </c>
      <c r="B195" s="2" t="s">
        <v>75</v>
      </c>
      <c r="C195" s="2" t="s">
        <v>37</v>
      </c>
      <c r="D195" s="2" t="s">
        <v>23</v>
      </c>
      <c r="E195" s="3">
        <v>44963</v>
      </c>
      <c r="F195" s="3">
        <v>44972</v>
      </c>
      <c r="G195" s="4">
        <v>754</v>
      </c>
      <c r="H195" s="4">
        <v>9</v>
      </c>
      <c r="I195" s="2" t="s">
        <v>51</v>
      </c>
      <c r="J195" s="2" t="s">
        <v>39</v>
      </c>
      <c r="K195" s="4">
        <v>2</v>
      </c>
      <c r="L195" s="4">
        <v>128.85</v>
      </c>
      <c r="M195" s="4">
        <v>257.7</v>
      </c>
      <c r="N195" s="2" t="s">
        <v>31</v>
      </c>
    </row>
    <row r="196" spans="1:14" ht="15" x14ac:dyDescent="0.25">
      <c r="A196" s="2" t="s">
        <v>244</v>
      </c>
      <c r="B196" s="2" t="s">
        <v>53</v>
      </c>
      <c r="C196" s="2" t="s">
        <v>61</v>
      </c>
      <c r="D196" s="2" t="s">
        <v>54</v>
      </c>
      <c r="E196" s="3">
        <v>45020</v>
      </c>
      <c r="F196" s="3">
        <v>45025</v>
      </c>
      <c r="G196" s="4">
        <v>298</v>
      </c>
      <c r="H196" s="4">
        <v>5</v>
      </c>
      <c r="I196" s="2" t="s">
        <v>63</v>
      </c>
      <c r="J196" s="2" t="s">
        <v>39</v>
      </c>
      <c r="K196" s="4">
        <v>4</v>
      </c>
      <c r="L196" s="4">
        <v>440.05</v>
      </c>
      <c r="M196" s="4">
        <v>1760.2</v>
      </c>
      <c r="N196" s="2" t="s">
        <v>20</v>
      </c>
    </row>
    <row r="197" spans="1:14" ht="15" x14ac:dyDescent="0.25">
      <c r="A197" s="2" t="s">
        <v>245</v>
      </c>
      <c r="B197" s="2" t="s">
        <v>28</v>
      </c>
      <c r="C197" s="2" t="s">
        <v>37</v>
      </c>
      <c r="D197" s="2" t="s">
        <v>23</v>
      </c>
      <c r="E197" s="3">
        <v>45192</v>
      </c>
      <c r="F197" s="3">
        <v>45201</v>
      </c>
      <c r="G197" s="4">
        <v>525</v>
      </c>
      <c r="H197" s="4">
        <v>9</v>
      </c>
      <c r="I197" s="2" t="s">
        <v>24</v>
      </c>
      <c r="J197" s="2" t="s">
        <v>19</v>
      </c>
      <c r="K197" s="4">
        <v>4</v>
      </c>
      <c r="L197" s="4">
        <v>177.12</v>
      </c>
      <c r="M197" s="4">
        <v>708.48</v>
      </c>
      <c r="N197" s="2" t="s">
        <v>43</v>
      </c>
    </row>
    <row r="198" spans="1:14" ht="15" x14ac:dyDescent="0.25">
      <c r="A198" s="2" t="s">
        <v>246</v>
      </c>
      <c r="B198" s="2" t="s">
        <v>41</v>
      </c>
      <c r="C198" s="2" t="s">
        <v>34</v>
      </c>
      <c r="D198" s="2" t="s">
        <v>35</v>
      </c>
      <c r="E198" s="3">
        <v>45143</v>
      </c>
      <c r="F198" s="3">
        <v>45147</v>
      </c>
      <c r="G198" s="4">
        <v>765</v>
      </c>
      <c r="H198" s="4">
        <v>4</v>
      </c>
      <c r="I198" s="2" t="s">
        <v>51</v>
      </c>
      <c r="J198" s="2" t="s">
        <v>49</v>
      </c>
      <c r="K198" s="4">
        <v>3</v>
      </c>
      <c r="L198" s="4">
        <v>477.71</v>
      </c>
      <c r="M198" s="4">
        <v>1433.13</v>
      </c>
      <c r="N198" s="2" t="s">
        <v>31</v>
      </c>
    </row>
    <row r="199" spans="1:14" ht="15" x14ac:dyDescent="0.25">
      <c r="A199" s="2" t="s">
        <v>247</v>
      </c>
      <c r="B199" s="2" t="s">
        <v>28</v>
      </c>
      <c r="C199" s="2" t="s">
        <v>34</v>
      </c>
      <c r="D199" s="2" t="s">
        <v>17</v>
      </c>
      <c r="E199" s="3">
        <v>44964</v>
      </c>
      <c r="F199" s="3">
        <v>44966</v>
      </c>
      <c r="G199" s="4">
        <v>591</v>
      </c>
      <c r="H199" s="4">
        <v>2</v>
      </c>
      <c r="I199" s="2" t="s">
        <v>18</v>
      </c>
      <c r="J199" s="2" t="s">
        <v>19</v>
      </c>
      <c r="K199" s="4">
        <v>3</v>
      </c>
      <c r="L199" s="4">
        <v>311.73</v>
      </c>
      <c r="M199" s="4">
        <v>935.19</v>
      </c>
      <c r="N199" s="2" t="s">
        <v>43</v>
      </c>
    </row>
    <row r="200" spans="1:14" ht="15" x14ac:dyDescent="0.25">
      <c r="A200" s="2" t="s">
        <v>248</v>
      </c>
      <c r="B200" s="2" t="s">
        <v>75</v>
      </c>
      <c r="C200" s="2" t="s">
        <v>37</v>
      </c>
      <c r="D200" s="2" t="s">
        <v>54</v>
      </c>
      <c r="E200" s="3">
        <v>45262</v>
      </c>
      <c r="F200" s="3">
        <v>45268</v>
      </c>
      <c r="G200" s="4">
        <v>987</v>
      </c>
      <c r="H200" s="4">
        <v>6</v>
      </c>
      <c r="I200" s="2" t="s">
        <v>42</v>
      </c>
      <c r="J200" s="2" t="s">
        <v>39</v>
      </c>
      <c r="K200" s="4">
        <v>3</v>
      </c>
      <c r="L200" s="4">
        <v>246.48</v>
      </c>
      <c r="M200" s="4">
        <v>739.44</v>
      </c>
      <c r="N200" s="2" t="s">
        <v>20</v>
      </c>
    </row>
    <row r="201" spans="1:14" ht="15" x14ac:dyDescent="0.25">
      <c r="A201" s="2" t="s">
        <v>249</v>
      </c>
      <c r="B201" s="2" t="s">
        <v>33</v>
      </c>
      <c r="C201" s="2" t="s">
        <v>76</v>
      </c>
      <c r="D201" s="2" t="s">
        <v>35</v>
      </c>
      <c r="E201" s="3">
        <v>45215</v>
      </c>
      <c r="F201" s="3">
        <v>45219</v>
      </c>
      <c r="G201" s="4">
        <v>995</v>
      </c>
      <c r="H201" s="4">
        <v>4</v>
      </c>
      <c r="I201" s="2" t="s">
        <v>42</v>
      </c>
      <c r="J201" s="2" t="s">
        <v>57</v>
      </c>
      <c r="K201" s="4">
        <v>1</v>
      </c>
      <c r="L201" s="4">
        <v>311.04000000000002</v>
      </c>
      <c r="M201" s="4">
        <v>311.04000000000002</v>
      </c>
      <c r="N201" s="2" t="s">
        <v>43</v>
      </c>
    </row>
    <row r="202" spans="1:14" ht="15" x14ac:dyDescent="0.25">
      <c r="A202" s="2" t="s">
        <v>250</v>
      </c>
      <c r="B202" s="2" t="s">
        <v>22</v>
      </c>
      <c r="C202" s="2" t="s">
        <v>76</v>
      </c>
      <c r="D202" s="2" t="s">
        <v>47</v>
      </c>
      <c r="E202" s="3">
        <v>44935</v>
      </c>
      <c r="F202" s="3">
        <v>44941</v>
      </c>
      <c r="G202" s="4">
        <v>241</v>
      </c>
      <c r="H202" s="4">
        <v>6</v>
      </c>
      <c r="I202" s="2" t="s">
        <v>63</v>
      </c>
      <c r="J202" s="2" t="s">
        <v>49</v>
      </c>
      <c r="K202" s="4">
        <v>4</v>
      </c>
      <c r="L202" s="4">
        <v>282.51</v>
      </c>
      <c r="M202" s="4">
        <v>1130.04</v>
      </c>
      <c r="N202" s="2" t="s">
        <v>43</v>
      </c>
    </row>
    <row r="203" spans="1:14" ht="15" x14ac:dyDescent="0.25">
      <c r="A203" s="2" t="s">
        <v>251</v>
      </c>
      <c r="B203" s="2" t="s">
        <v>15</v>
      </c>
      <c r="C203" s="2" t="s">
        <v>34</v>
      </c>
      <c r="D203" s="2" t="s">
        <v>54</v>
      </c>
      <c r="E203" s="3">
        <v>45164</v>
      </c>
      <c r="F203" s="3">
        <v>45167</v>
      </c>
      <c r="G203" s="4">
        <v>412</v>
      </c>
      <c r="H203" s="4">
        <v>3</v>
      </c>
      <c r="I203" s="2" t="s">
        <v>55</v>
      </c>
      <c r="J203" s="2" t="s">
        <v>49</v>
      </c>
      <c r="K203" s="4">
        <v>2</v>
      </c>
      <c r="L203" s="4">
        <v>391.45</v>
      </c>
      <c r="M203" s="4">
        <v>782.9</v>
      </c>
      <c r="N203" s="2" t="s">
        <v>26</v>
      </c>
    </row>
    <row r="204" spans="1:14" ht="15" x14ac:dyDescent="0.25">
      <c r="A204" s="2" t="s">
        <v>252</v>
      </c>
      <c r="B204" s="2" t="s">
        <v>33</v>
      </c>
      <c r="C204" s="2" t="s">
        <v>37</v>
      </c>
      <c r="D204" s="2" t="s">
        <v>23</v>
      </c>
      <c r="E204" s="3">
        <v>45208</v>
      </c>
      <c r="F204" s="3">
        <v>45214</v>
      </c>
      <c r="G204" s="4">
        <v>264</v>
      </c>
      <c r="H204" s="4">
        <v>6</v>
      </c>
      <c r="I204" s="2" t="s">
        <v>63</v>
      </c>
      <c r="J204" s="2" t="s">
        <v>19</v>
      </c>
      <c r="K204" s="4">
        <v>3</v>
      </c>
      <c r="L204" s="4">
        <v>177.12</v>
      </c>
      <c r="M204" s="4">
        <v>531.36</v>
      </c>
      <c r="N204" s="2" t="s">
        <v>20</v>
      </c>
    </row>
    <row r="205" spans="1:14" ht="15" x14ac:dyDescent="0.25">
      <c r="A205" s="2" t="s">
        <v>253</v>
      </c>
      <c r="B205" s="2" t="s">
        <v>28</v>
      </c>
      <c r="C205" s="2" t="s">
        <v>37</v>
      </c>
      <c r="D205" s="2" t="s">
        <v>54</v>
      </c>
      <c r="E205" s="3">
        <v>45063</v>
      </c>
      <c r="F205" s="3">
        <v>45065</v>
      </c>
      <c r="G205" s="4">
        <v>413</v>
      </c>
      <c r="H205" s="4">
        <v>2</v>
      </c>
      <c r="I205" s="2" t="s">
        <v>42</v>
      </c>
      <c r="J205" s="2" t="s">
        <v>25</v>
      </c>
      <c r="K205" s="4">
        <v>2</v>
      </c>
      <c r="L205" s="4">
        <v>208.87</v>
      </c>
      <c r="M205" s="4">
        <v>417.74</v>
      </c>
      <c r="N205" s="2" t="s">
        <v>26</v>
      </c>
    </row>
    <row r="206" spans="1:14" ht="15" x14ac:dyDescent="0.25">
      <c r="A206" s="2" t="s">
        <v>254</v>
      </c>
      <c r="B206" s="2" t="s">
        <v>33</v>
      </c>
      <c r="C206" s="2" t="s">
        <v>34</v>
      </c>
      <c r="D206" s="2" t="s">
        <v>23</v>
      </c>
      <c r="E206" s="3">
        <v>44952</v>
      </c>
      <c r="F206" s="3">
        <v>44954</v>
      </c>
      <c r="G206" s="4">
        <v>120</v>
      </c>
      <c r="H206" s="4">
        <v>2</v>
      </c>
      <c r="I206" s="2" t="s">
        <v>30</v>
      </c>
      <c r="J206" s="2" t="s">
        <v>25</v>
      </c>
      <c r="K206" s="4">
        <v>2</v>
      </c>
      <c r="L206" s="4">
        <v>452.34</v>
      </c>
      <c r="M206" s="4">
        <v>904.68</v>
      </c>
      <c r="N206" s="2" t="s">
        <v>31</v>
      </c>
    </row>
    <row r="207" spans="1:14" ht="15" x14ac:dyDescent="0.25">
      <c r="A207" s="2" t="s">
        <v>255</v>
      </c>
      <c r="B207" s="2" t="s">
        <v>22</v>
      </c>
      <c r="C207" s="2" t="s">
        <v>29</v>
      </c>
      <c r="D207" s="2" t="s">
        <v>35</v>
      </c>
      <c r="E207" s="3">
        <v>44955</v>
      </c>
      <c r="F207" s="3">
        <v>44964</v>
      </c>
      <c r="G207" s="4">
        <v>181</v>
      </c>
      <c r="H207" s="4">
        <v>9</v>
      </c>
      <c r="I207" s="2" t="s">
        <v>55</v>
      </c>
      <c r="J207" s="2" t="s">
        <v>49</v>
      </c>
      <c r="K207" s="4">
        <v>3</v>
      </c>
      <c r="L207" s="4">
        <v>475.91</v>
      </c>
      <c r="M207" s="4">
        <v>1427.73</v>
      </c>
      <c r="N207" s="2" t="s">
        <v>31</v>
      </c>
    </row>
    <row r="208" spans="1:14" ht="15" x14ac:dyDescent="0.25">
      <c r="A208" s="2" t="s">
        <v>256</v>
      </c>
      <c r="B208" s="2" t="s">
        <v>45</v>
      </c>
      <c r="C208" s="2" t="s">
        <v>46</v>
      </c>
      <c r="D208" s="2" t="s">
        <v>47</v>
      </c>
      <c r="E208" s="3">
        <v>44965</v>
      </c>
      <c r="F208" s="3">
        <v>44972</v>
      </c>
      <c r="G208" s="4">
        <v>680</v>
      </c>
      <c r="H208" s="4">
        <v>7</v>
      </c>
      <c r="I208" s="2" t="s">
        <v>51</v>
      </c>
      <c r="J208" s="2" t="s">
        <v>57</v>
      </c>
      <c r="K208" s="4">
        <v>4</v>
      </c>
      <c r="L208" s="4">
        <v>451.65</v>
      </c>
      <c r="M208" s="4">
        <v>1806.6</v>
      </c>
      <c r="N208" s="2" t="s">
        <v>20</v>
      </c>
    </row>
    <row r="209" spans="1:14" ht="15" x14ac:dyDescent="0.25">
      <c r="A209" s="2" t="s">
        <v>257</v>
      </c>
      <c r="B209" s="2" t="s">
        <v>53</v>
      </c>
      <c r="C209" s="2" t="s">
        <v>16</v>
      </c>
      <c r="D209" s="2" t="s">
        <v>17</v>
      </c>
      <c r="E209" s="3">
        <v>45233</v>
      </c>
      <c r="F209" s="3">
        <v>45236</v>
      </c>
      <c r="G209" s="4">
        <v>230</v>
      </c>
      <c r="H209" s="4">
        <v>3</v>
      </c>
      <c r="I209" s="2" t="s">
        <v>24</v>
      </c>
      <c r="J209" s="2" t="s">
        <v>49</v>
      </c>
      <c r="K209" s="4">
        <v>3</v>
      </c>
      <c r="L209" s="4">
        <v>238.75</v>
      </c>
      <c r="M209" s="4">
        <v>716.25</v>
      </c>
      <c r="N209" s="2" t="s">
        <v>20</v>
      </c>
    </row>
    <row r="210" spans="1:14" ht="15" x14ac:dyDescent="0.25">
      <c r="A210" s="2" t="s">
        <v>258</v>
      </c>
      <c r="B210" s="2" t="s">
        <v>53</v>
      </c>
      <c r="C210" s="2" t="s">
        <v>46</v>
      </c>
      <c r="D210" s="2" t="s">
        <v>23</v>
      </c>
      <c r="E210" s="3">
        <v>45259</v>
      </c>
      <c r="F210" s="3">
        <v>45260</v>
      </c>
      <c r="G210" s="4">
        <v>698</v>
      </c>
      <c r="H210" s="4">
        <v>1</v>
      </c>
      <c r="I210" s="2" t="s">
        <v>18</v>
      </c>
      <c r="J210" s="2" t="s">
        <v>19</v>
      </c>
      <c r="K210" s="4">
        <v>2</v>
      </c>
      <c r="L210" s="4">
        <v>401.16</v>
      </c>
      <c r="M210" s="4">
        <v>802.32</v>
      </c>
      <c r="N210" s="2" t="s">
        <v>20</v>
      </c>
    </row>
    <row r="211" spans="1:14" ht="15" x14ac:dyDescent="0.25">
      <c r="A211" s="2" t="s">
        <v>259</v>
      </c>
      <c r="B211" s="2" t="s">
        <v>22</v>
      </c>
      <c r="C211" s="2" t="s">
        <v>61</v>
      </c>
      <c r="D211" s="2" t="s">
        <v>35</v>
      </c>
      <c r="E211" s="3">
        <v>44971</v>
      </c>
      <c r="F211" s="3">
        <v>44979</v>
      </c>
      <c r="G211" s="4">
        <v>829</v>
      </c>
      <c r="H211" s="4">
        <v>8</v>
      </c>
      <c r="I211" s="2" t="s">
        <v>51</v>
      </c>
      <c r="J211" s="2" t="s">
        <v>39</v>
      </c>
      <c r="K211" s="4">
        <v>3</v>
      </c>
      <c r="L211" s="4">
        <v>264.35000000000002</v>
      </c>
      <c r="M211" s="4">
        <v>793.05</v>
      </c>
      <c r="N211" s="2" t="s">
        <v>43</v>
      </c>
    </row>
    <row r="212" spans="1:14" ht="15" x14ac:dyDescent="0.25">
      <c r="A212" s="2" t="s">
        <v>260</v>
      </c>
      <c r="B212" s="2" t="s">
        <v>33</v>
      </c>
      <c r="C212" s="2" t="s">
        <v>34</v>
      </c>
      <c r="D212" s="2" t="s">
        <v>17</v>
      </c>
      <c r="E212" s="3">
        <v>45013</v>
      </c>
      <c r="F212" s="3">
        <v>45019</v>
      </c>
      <c r="G212" s="4">
        <v>404</v>
      </c>
      <c r="H212" s="4">
        <v>6</v>
      </c>
      <c r="I212" s="2" t="s">
        <v>24</v>
      </c>
      <c r="J212" s="2" t="s">
        <v>39</v>
      </c>
      <c r="K212" s="4">
        <v>2</v>
      </c>
      <c r="L212" s="4">
        <v>273.89</v>
      </c>
      <c r="M212" s="4">
        <v>547.78</v>
      </c>
      <c r="N212" s="2" t="s">
        <v>43</v>
      </c>
    </row>
    <row r="213" spans="1:14" ht="15" x14ac:dyDescent="0.25">
      <c r="A213" s="2" t="s">
        <v>261</v>
      </c>
      <c r="B213" s="2" t="s">
        <v>15</v>
      </c>
      <c r="C213" s="2" t="s">
        <v>76</v>
      </c>
      <c r="D213" s="2" t="s">
        <v>35</v>
      </c>
      <c r="E213" s="3">
        <v>44987</v>
      </c>
      <c r="F213" s="3">
        <v>44994</v>
      </c>
      <c r="G213" s="4">
        <v>470</v>
      </c>
      <c r="H213" s="4">
        <v>7</v>
      </c>
      <c r="I213" s="2" t="s">
        <v>18</v>
      </c>
      <c r="J213" s="2" t="s">
        <v>57</v>
      </c>
      <c r="K213" s="4">
        <v>2</v>
      </c>
      <c r="L213" s="4">
        <v>142.11000000000001</v>
      </c>
      <c r="M213" s="4">
        <v>284.22000000000003</v>
      </c>
      <c r="N213" s="2" t="s">
        <v>31</v>
      </c>
    </row>
    <row r="214" spans="1:14" ht="15" x14ac:dyDescent="0.25">
      <c r="A214" s="2" t="s">
        <v>262</v>
      </c>
      <c r="B214" s="2" t="s">
        <v>75</v>
      </c>
      <c r="C214" s="2" t="s">
        <v>29</v>
      </c>
      <c r="D214" s="2" t="s">
        <v>54</v>
      </c>
      <c r="E214" s="3">
        <v>44995</v>
      </c>
      <c r="F214" s="3">
        <v>45004</v>
      </c>
      <c r="G214" s="4">
        <v>956</v>
      </c>
      <c r="H214" s="4">
        <v>9</v>
      </c>
      <c r="I214" s="2" t="s">
        <v>63</v>
      </c>
      <c r="J214" s="2" t="s">
        <v>57</v>
      </c>
      <c r="K214" s="4">
        <v>3</v>
      </c>
      <c r="L214" s="4">
        <v>316.01</v>
      </c>
      <c r="M214" s="4">
        <v>948.03</v>
      </c>
      <c r="N214" s="2" t="s">
        <v>31</v>
      </c>
    </row>
    <row r="215" spans="1:14" ht="15" x14ac:dyDescent="0.25">
      <c r="A215" s="2" t="s">
        <v>263</v>
      </c>
      <c r="B215" s="2" t="s">
        <v>33</v>
      </c>
      <c r="C215" s="2" t="s">
        <v>61</v>
      </c>
      <c r="D215" s="2" t="s">
        <v>17</v>
      </c>
      <c r="E215" s="3">
        <v>45232</v>
      </c>
      <c r="F215" s="3">
        <v>45237</v>
      </c>
      <c r="G215" s="4">
        <v>952</v>
      </c>
      <c r="H215" s="4">
        <v>5</v>
      </c>
      <c r="I215" s="2" t="s">
        <v>55</v>
      </c>
      <c r="J215" s="2" t="s">
        <v>39</v>
      </c>
      <c r="K215" s="4">
        <v>1</v>
      </c>
      <c r="L215" s="4">
        <v>133.76</v>
      </c>
      <c r="M215" s="4">
        <v>133.76</v>
      </c>
      <c r="N215" s="2" t="s">
        <v>26</v>
      </c>
    </row>
    <row r="216" spans="1:14" ht="15" x14ac:dyDescent="0.25">
      <c r="A216" s="2" t="s">
        <v>264</v>
      </c>
      <c r="B216" s="2" t="s">
        <v>33</v>
      </c>
      <c r="C216" s="2" t="s">
        <v>61</v>
      </c>
      <c r="D216" s="2" t="s">
        <v>17</v>
      </c>
      <c r="E216" s="3">
        <v>45048</v>
      </c>
      <c r="F216" s="3">
        <v>45049</v>
      </c>
      <c r="G216" s="4">
        <v>483</v>
      </c>
      <c r="H216" s="4">
        <v>1</v>
      </c>
      <c r="I216" s="2" t="s">
        <v>51</v>
      </c>
      <c r="J216" s="2" t="s">
        <v>49</v>
      </c>
      <c r="K216" s="4">
        <v>3</v>
      </c>
      <c r="L216" s="4">
        <v>199.2</v>
      </c>
      <c r="M216" s="4">
        <v>597.6</v>
      </c>
      <c r="N216" s="2" t="s">
        <v>26</v>
      </c>
    </row>
    <row r="217" spans="1:14" ht="15" x14ac:dyDescent="0.25">
      <c r="A217" s="2" t="s">
        <v>238</v>
      </c>
      <c r="B217" s="2" t="s">
        <v>28</v>
      </c>
      <c r="C217" s="2" t="s">
        <v>37</v>
      </c>
      <c r="D217" s="2" t="s">
        <v>23</v>
      </c>
      <c r="E217" s="3">
        <v>45040</v>
      </c>
      <c r="F217" s="3">
        <v>45047</v>
      </c>
      <c r="G217" s="4">
        <v>544</v>
      </c>
      <c r="H217" s="4">
        <v>7</v>
      </c>
      <c r="I217" s="2" t="s">
        <v>24</v>
      </c>
      <c r="J217" s="2" t="s">
        <v>49</v>
      </c>
      <c r="K217" s="4">
        <v>1</v>
      </c>
      <c r="L217" s="4">
        <v>434.76</v>
      </c>
      <c r="M217" s="4">
        <v>434.76</v>
      </c>
      <c r="N217" s="2" t="s">
        <v>26</v>
      </c>
    </row>
    <row r="218" spans="1:14" ht="15" x14ac:dyDescent="0.25">
      <c r="A218" s="2" t="s">
        <v>265</v>
      </c>
      <c r="B218" s="2" t="s">
        <v>75</v>
      </c>
      <c r="C218" s="2" t="s">
        <v>76</v>
      </c>
      <c r="D218" s="2" t="s">
        <v>23</v>
      </c>
      <c r="E218" s="3">
        <v>45009</v>
      </c>
      <c r="F218" s="3">
        <v>45014</v>
      </c>
      <c r="G218" s="4">
        <v>524</v>
      </c>
      <c r="H218" s="4">
        <v>5</v>
      </c>
      <c r="I218" s="2" t="s">
        <v>51</v>
      </c>
      <c r="J218" s="2" t="s">
        <v>57</v>
      </c>
      <c r="K218" s="4">
        <v>2</v>
      </c>
      <c r="L218" s="4">
        <v>143.18</v>
      </c>
      <c r="M218" s="4">
        <v>286.36</v>
      </c>
      <c r="N218" s="2" t="s">
        <v>31</v>
      </c>
    </row>
    <row r="219" spans="1:14" ht="15" x14ac:dyDescent="0.25">
      <c r="A219" s="2" t="s">
        <v>266</v>
      </c>
      <c r="B219" s="2" t="s">
        <v>45</v>
      </c>
      <c r="C219" s="2" t="s">
        <v>37</v>
      </c>
      <c r="D219" s="2" t="s">
        <v>47</v>
      </c>
      <c r="E219" s="3">
        <v>45148</v>
      </c>
      <c r="F219" s="3">
        <v>45151</v>
      </c>
      <c r="G219" s="4">
        <v>260</v>
      </c>
      <c r="H219" s="4">
        <v>3</v>
      </c>
      <c r="I219" s="2" t="s">
        <v>63</v>
      </c>
      <c r="J219" s="2" t="s">
        <v>25</v>
      </c>
      <c r="K219" s="4">
        <v>2</v>
      </c>
      <c r="L219" s="4">
        <v>82.02</v>
      </c>
      <c r="M219" s="4">
        <v>164.04</v>
      </c>
      <c r="N219" s="2" t="s">
        <v>20</v>
      </c>
    </row>
    <row r="220" spans="1:14" ht="15" x14ac:dyDescent="0.25">
      <c r="A220" s="2" t="s">
        <v>267</v>
      </c>
      <c r="B220" s="2" t="s">
        <v>45</v>
      </c>
      <c r="C220" s="2" t="s">
        <v>16</v>
      </c>
      <c r="D220" s="2" t="s">
        <v>35</v>
      </c>
      <c r="E220" s="3">
        <v>45065</v>
      </c>
      <c r="F220" s="3">
        <v>45074</v>
      </c>
      <c r="G220" s="4">
        <v>277</v>
      </c>
      <c r="H220" s="4">
        <v>9</v>
      </c>
      <c r="I220" s="2" t="s">
        <v>63</v>
      </c>
      <c r="J220" s="2" t="s">
        <v>19</v>
      </c>
      <c r="K220" s="4">
        <v>1</v>
      </c>
      <c r="L220" s="4">
        <v>81.05</v>
      </c>
      <c r="M220" s="4">
        <v>81.05</v>
      </c>
      <c r="N220" s="2" t="s">
        <v>31</v>
      </c>
    </row>
    <row r="221" spans="1:14" ht="15" x14ac:dyDescent="0.25">
      <c r="A221" s="2" t="s">
        <v>268</v>
      </c>
      <c r="B221" s="2" t="s">
        <v>15</v>
      </c>
      <c r="C221" s="2" t="s">
        <v>29</v>
      </c>
      <c r="D221" s="2" t="s">
        <v>47</v>
      </c>
      <c r="E221" s="3">
        <v>45198</v>
      </c>
      <c r="F221" s="3">
        <v>45199</v>
      </c>
      <c r="G221" s="4">
        <v>728</v>
      </c>
      <c r="H221" s="4">
        <v>1</v>
      </c>
      <c r="I221" s="2" t="s">
        <v>30</v>
      </c>
      <c r="J221" s="2" t="s">
        <v>19</v>
      </c>
      <c r="K221" s="4">
        <v>2</v>
      </c>
      <c r="L221" s="4">
        <v>473.35</v>
      </c>
      <c r="M221" s="4">
        <v>946.7</v>
      </c>
      <c r="N221" s="2" t="s">
        <v>20</v>
      </c>
    </row>
    <row r="222" spans="1:14" ht="15" x14ac:dyDescent="0.25">
      <c r="A222" s="2" t="s">
        <v>269</v>
      </c>
      <c r="B222" s="2" t="s">
        <v>41</v>
      </c>
      <c r="C222" s="2" t="s">
        <v>16</v>
      </c>
      <c r="D222" s="2" t="s">
        <v>35</v>
      </c>
      <c r="E222" s="3">
        <v>45002</v>
      </c>
      <c r="F222" s="3">
        <v>45003</v>
      </c>
      <c r="G222" s="4">
        <v>807</v>
      </c>
      <c r="H222" s="4">
        <v>1</v>
      </c>
      <c r="I222" s="2" t="s">
        <v>30</v>
      </c>
      <c r="J222" s="2" t="s">
        <v>49</v>
      </c>
      <c r="K222" s="4">
        <v>1</v>
      </c>
      <c r="L222" s="4">
        <v>278.11</v>
      </c>
      <c r="M222" s="4">
        <v>278.11</v>
      </c>
      <c r="N222" s="2" t="s">
        <v>43</v>
      </c>
    </row>
    <row r="223" spans="1:14" ht="15" x14ac:dyDescent="0.25">
      <c r="A223" s="2" t="s">
        <v>270</v>
      </c>
      <c r="B223" s="2" t="s">
        <v>53</v>
      </c>
      <c r="C223" s="2" t="s">
        <v>37</v>
      </c>
      <c r="D223" s="2" t="s">
        <v>23</v>
      </c>
      <c r="E223" s="3">
        <v>45214</v>
      </c>
      <c r="F223" s="3">
        <v>45215</v>
      </c>
      <c r="G223" s="4">
        <v>994</v>
      </c>
      <c r="H223" s="4">
        <v>1</v>
      </c>
      <c r="I223" s="2" t="s">
        <v>24</v>
      </c>
      <c r="J223" s="2" t="s">
        <v>57</v>
      </c>
      <c r="K223" s="4">
        <v>1</v>
      </c>
      <c r="L223" s="4">
        <v>234.24</v>
      </c>
      <c r="M223" s="4">
        <v>234.24</v>
      </c>
      <c r="N223" s="2" t="s">
        <v>20</v>
      </c>
    </row>
    <row r="224" spans="1:14" ht="15" x14ac:dyDescent="0.25">
      <c r="A224" s="2" t="s">
        <v>271</v>
      </c>
      <c r="B224" s="2" t="s">
        <v>33</v>
      </c>
      <c r="C224" s="2" t="s">
        <v>37</v>
      </c>
      <c r="D224" s="2" t="s">
        <v>35</v>
      </c>
      <c r="E224" s="3">
        <v>45147</v>
      </c>
      <c r="F224" s="3">
        <v>45150</v>
      </c>
      <c r="G224" s="4">
        <v>589</v>
      </c>
      <c r="H224" s="4">
        <v>3</v>
      </c>
      <c r="I224" s="2" t="s">
        <v>30</v>
      </c>
      <c r="J224" s="2" t="s">
        <v>39</v>
      </c>
      <c r="K224" s="4">
        <v>2</v>
      </c>
      <c r="L224" s="4">
        <v>414.9</v>
      </c>
      <c r="M224" s="4">
        <v>829.8</v>
      </c>
      <c r="N224" s="2" t="s">
        <v>31</v>
      </c>
    </row>
    <row r="225" spans="1:14" ht="15" x14ac:dyDescent="0.25">
      <c r="A225" s="2" t="s">
        <v>272</v>
      </c>
      <c r="B225" s="2" t="s">
        <v>41</v>
      </c>
      <c r="C225" s="2" t="s">
        <v>29</v>
      </c>
      <c r="D225" s="2" t="s">
        <v>35</v>
      </c>
      <c r="E225" s="3">
        <v>44968</v>
      </c>
      <c r="F225" s="3">
        <v>44974</v>
      </c>
      <c r="G225" s="4">
        <v>426</v>
      </c>
      <c r="H225" s="4">
        <v>6</v>
      </c>
      <c r="I225" s="2" t="s">
        <v>42</v>
      </c>
      <c r="J225" s="2" t="s">
        <v>49</v>
      </c>
      <c r="K225" s="4">
        <v>4</v>
      </c>
      <c r="L225" s="4">
        <v>426.12</v>
      </c>
      <c r="M225" s="4">
        <v>1704.48</v>
      </c>
      <c r="N225" s="2" t="s">
        <v>26</v>
      </c>
    </row>
    <row r="226" spans="1:14" ht="15" x14ac:dyDescent="0.25">
      <c r="A226" s="2" t="s">
        <v>273</v>
      </c>
      <c r="B226" s="2" t="s">
        <v>33</v>
      </c>
      <c r="C226" s="2" t="s">
        <v>76</v>
      </c>
      <c r="D226" s="2" t="s">
        <v>23</v>
      </c>
      <c r="E226" s="3">
        <v>45078</v>
      </c>
      <c r="F226" s="3">
        <v>45081</v>
      </c>
      <c r="G226" s="4">
        <v>697</v>
      </c>
      <c r="H226" s="4">
        <v>3</v>
      </c>
      <c r="I226" s="2" t="s">
        <v>63</v>
      </c>
      <c r="J226" s="2" t="s">
        <v>57</v>
      </c>
      <c r="K226" s="4">
        <v>1</v>
      </c>
      <c r="L226" s="4">
        <v>199.49</v>
      </c>
      <c r="M226" s="4">
        <v>199.49</v>
      </c>
      <c r="N226" s="2" t="s">
        <v>26</v>
      </c>
    </row>
    <row r="227" spans="1:14" ht="15" x14ac:dyDescent="0.25">
      <c r="A227" s="2" t="s">
        <v>274</v>
      </c>
      <c r="B227" s="2" t="s">
        <v>15</v>
      </c>
      <c r="C227" s="2" t="s">
        <v>34</v>
      </c>
      <c r="D227" s="2" t="s">
        <v>35</v>
      </c>
      <c r="E227" s="3">
        <v>45242</v>
      </c>
      <c r="F227" s="3">
        <v>45250</v>
      </c>
      <c r="G227" s="4">
        <v>388</v>
      </c>
      <c r="H227" s="4">
        <v>8</v>
      </c>
      <c r="I227" s="2" t="s">
        <v>24</v>
      </c>
      <c r="J227" s="2" t="s">
        <v>19</v>
      </c>
      <c r="K227" s="4">
        <v>3</v>
      </c>
      <c r="L227" s="4">
        <v>362.13</v>
      </c>
      <c r="M227" s="4">
        <v>1086.3900000000001</v>
      </c>
      <c r="N227" s="2" t="s">
        <v>20</v>
      </c>
    </row>
    <row r="228" spans="1:14" ht="15" x14ac:dyDescent="0.25">
      <c r="A228" s="2" t="s">
        <v>275</v>
      </c>
      <c r="B228" s="2" t="s">
        <v>41</v>
      </c>
      <c r="C228" s="2" t="s">
        <v>46</v>
      </c>
      <c r="D228" s="2" t="s">
        <v>47</v>
      </c>
      <c r="E228" s="3">
        <v>45263</v>
      </c>
      <c r="F228" s="3">
        <v>45265</v>
      </c>
      <c r="G228" s="4">
        <v>692</v>
      </c>
      <c r="H228" s="4">
        <v>2</v>
      </c>
      <c r="I228" s="2" t="s">
        <v>55</v>
      </c>
      <c r="J228" s="2" t="s">
        <v>19</v>
      </c>
      <c r="K228" s="4">
        <v>3</v>
      </c>
      <c r="L228" s="4">
        <v>397.01</v>
      </c>
      <c r="M228" s="4">
        <v>1191.03</v>
      </c>
      <c r="N228" s="2" t="s">
        <v>43</v>
      </c>
    </row>
    <row r="229" spans="1:14" ht="15" x14ac:dyDescent="0.25">
      <c r="A229" s="2" t="s">
        <v>276</v>
      </c>
      <c r="B229" s="2" t="s">
        <v>28</v>
      </c>
      <c r="C229" s="2" t="s">
        <v>46</v>
      </c>
      <c r="D229" s="2" t="s">
        <v>35</v>
      </c>
      <c r="E229" s="3">
        <v>45096</v>
      </c>
      <c r="F229" s="3">
        <v>45105</v>
      </c>
      <c r="G229" s="4">
        <v>763</v>
      </c>
      <c r="H229" s="4">
        <v>9</v>
      </c>
      <c r="I229" s="2" t="s">
        <v>51</v>
      </c>
      <c r="J229" s="2" t="s">
        <v>57</v>
      </c>
      <c r="K229" s="4">
        <v>2</v>
      </c>
      <c r="L229" s="4">
        <v>344.59</v>
      </c>
      <c r="M229" s="4">
        <v>689.18</v>
      </c>
      <c r="N229" s="2" t="s">
        <v>31</v>
      </c>
    </row>
    <row r="230" spans="1:14" ht="15" x14ac:dyDescent="0.25">
      <c r="A230" s="2" t="s">
        <v>277</v>
      </c>
      <c r="B230" s="2" t="s">
        <v>15</v>
      </c>
      <c r="C230" s="2" t="s">
        <v>37</v>
      </c>
      <c r="D230" s="2" t="s">
        <v>47</v>
      </c>
      <c r="E230" s="3">
        <v>45102</v>
      </c>
      <c r="F230" s="3">
        <v>45105</v>
      </c>
      <c r="G230" s="4">
        <v>672</v>
      </c>
      <c r="H230" s="4">
        <v>3</v>
      </c>
      <c r="I230" s="2" t="s">
        <v>51</v>
      </c>
      <c r="J230" s="2" t="s">
        <v>39</v>
      </c>
      <c r="K230" s="4">
        <v>4</v>
      </c>
      <c r="L230" s="4">
        <v>118.22</v>
      </c>
      <c r="M230" s="4">
        <v>472.88</v>
      </c>
      <c r="N230" s="2" t="s">
        <v>31</v>
      </c>
    </row>
    <row r="231" spans="1:14" ht="15" x14ac:dyDescent="0.25">
      <c r="A231" s="2" t="s">
        <v>278</v>
      </c>
      <c r="B231" s="2" t="s">
        <v>45</v>
      </c>
      <c r="C231" s="2" t="s">
        <v>37</v>
      </c>
      <c r="D231" s="2" t="s">
        <v>35</v>
      </c>
      <c r="E231" s="3">
        <v>45262</v>
      </c>
      <c r="F231" s="3">
        <v>45267</v>
      </c>
      <c r="G231" s="4">
        <v>672</v>
      </c>
      <c r="H231" s="4">
        <v>5</v>
      </c>
      <c r="I231" s="2" t="s">
        <v>18</v>
      </c>
      <c r="J231" s="2" t="s">
        <v>57</v>
      </c>
      <c r="K231" s="4">
        <v>2</v>
      </c>
      <c r="L231" s="4">
        <v>444.15</v>
      </c>
      <c r="M231" s="4">
        <v>888.3</v>
      </c>
      <c r="N231" s="2" t="s">
        <v>31</v>
      </c>
    </row>
    <row r="232" spans="1:14" ht="15" x14ac:dyDescent="0.25">
      <c r="A232" s="2" t="s">
        <v>279</v>
      </c>
      <c r="B232" s="2" t="s">
        <v>41</v>
      </c>
      <c r="C232" s="2" t="s">
        <v>61</v>
      </c>
      <c r="D232" s="2" t="s">
        <v>54</v>
      </c>
      <c r="E232" s="3">
        <v>45141</v>
      </c>
      <c r="F232" s="3">
        <v>45149</v>
      </c>
      <c r="G232" s="4">
        <v>453</v>
      </c>
      <c r="H232" s="4">
        <v>8</v>
      </c>
      <c r="I232" s="2" t="s">
        <v>42</v>
      </c>
      <c r="J232" s="2" t="s">
        <v>57</v>
      </c>
      <c r="K232" s="4">
        <v>4</v>
      </c>
      <c r="L232" s="4">
        <v>292.58999999999997</v>
      </c>
      <c r="M232" s="4">
        <v>1170.3599999999999</v>
      </c>
      <c r="N232" s="2" t="s">
        <v>31</v>
      </c>
    </row>
    <row r="233" spans="1:14" ht="15" x14ac:dyDescent="0.25">
      <c r="A233" s="2" t="s">
        <v>280</v>
      </c>
      <c r="B233" s="2" t="s">
        <v>33</v>
      </c>
      <c r="C233" s="2" t="s">
        <v>76</v>
      </c>
      <c r="D233" s="2" t="s">
        <v>17</v>
      </c>
      <c r="E233" s="3">
        <v>44938</v>
      </c>
      <c r="F233" s="3">
        <v>44940</v>
      </c>
      <c r="G233" s="4">
        <v>127</v>
      </c>
      <c r="H233" s="4">
        <v>2</v>
      </c>
      <c r="I233" s="2" t="s">
        <v>30</v>
      </c>
      <c r="J233" s="2" t="s">
        <v>49</v>
      </c>
      <c r="K233" s="4">
        <v>1</v>
      </c>
      <c r="L233" s="4">
        <v>177.11</v>
      </c>
      <c r="M233" s="4">
        <v>177.11</v>
      </c>
      <c r="N233" s="2" t="s">
        <v>26</v>
      </c>
    </row>
    <row r="234" spans="1:14" ht="15" x14ac:dyDescent="0.25">
      <c r="A234" s="2" t="s">
        <v>281</v>
      </c>
      <c r="B234" s="2" t="s">
        <v>45</v>
      </c>
      <c r="C234" s="2" t="s">
        <v>16</v>
      </c>
      <c r="D234" s="2" t="s">
        <v>54</v>
      </c>
      <c r="E234" s="3">
        <v>45260</v>
      </c>
      <c r="F234" s="3">
        <v>45266</v>
      </c>
      <c r="G234" s="4">
        <v>142</v>
      </c>
      <c r="H234" s="4">
        <v>6</v>
      </c>
      <c r="I234" s="2" t="s">
        <v>51</v>
      </c>
      <c r="J234" s="2" t="s">
        <v>49</v>
      </c>
      <c r="K234" s="4">
        <v>1</v>
      </c>
      <c r="L234" s="4">
        <v>241.35</v>
      </c>
      <c r="M234" s="4">
        <v>241.35</v>
      </c>
      <c r="N234" s="2" t="s">
        <v>43</v>
      </c>
    </row>
    <row r="235" spans="1:14" ht="15" x14ac:dyDescent="0.25">
      <c r="A235" s="2" t="s">
        <v>282</v>
      </c>
      <c r="B235" s="2" t="s">
        <v>15</v>
      </c>
      <c r="C235" s="2" t="s">
        <v>46</v>
      </c>
      <c r="D235" s="2" t="s">
        <v>35</v>
      </c>
      <c r="E235" s="3">
        <v>45017</v>
      </c>
      <c r="F235" s="3">
        <v>45022</v>
      </c>
      <c r="G235" s="4">
        <v>780</v>
      </c>
      <c r="H235" s="4">
        <v>5</v>
      </c>
      <c r="I235" s="2" t="s">
        <v>18</v>
      </c>
      <c r="J235" s="2" t="s">
        <v>57</v>
      </c>
      <c r="K235" s="4">
        <v>1</v>
      </c>
      <c r="L235" s="4">
        <v>66.91</v>
      </c>
      <c r="M235" s="4">
        <v>66.91</v>
      </c>
      <c r="N235" s="2" t="s">
        <v>43</v>
      </c>
    </row>
    <row r="236" spans="1:14" ht="15" x14ac:dyDescent="0.25">
      <c r="A236" s="2" t="s">
        <v>187</v>
      </c>
      <c r="B236" s="2" t="s">
        <v>15</v>
      </c>
      <c r="C236" s="2" t="s">
        <v>61</v>
      </c>
      <c r="D236" s="2" t="s">
        <v>17</v>
      </c>
      <c r="E236" s="3">
        <v>45137</v>
      </c>
      <c r="F236" s="3">
        <v>45146</v>
      </c>
      <c r="G236" s="4">
        <v>522</v>
      </c>
      <c r="H236" s="4">
        <v>9</v>
      </c>
      <c r="I236" s="2" t="s">
        <v>55</v>
      </c>
      <c r="J236" s="2" t="s">
        <v>39</v>
      </c>
      <c r="K236" s="4">
        <v>1</v>
      </c>
      <c r="L236" s="4">
        <v>107.54</v>
      </c>
      <c r="M236" s="4">
        <v>107.54</v>
      </c>
      <c r="N236" s="2" t="s">
        <v>43</v>
      </c>
    </row>
    <row r="237" spans="1:14" ht="15" x14ac:dyDescent="0.25">
      <c r="A237" s="2" t="s">
        <v>283</v>
      </c>
      <c r="B237" s="2" t="s">
        <v>28</v>
      </c>
      <c r="C237" s="2" t="s">
        <v>61</v>
      </c>
      <c r="D237" s="2" t="s">
        <v>47</v>
      </c>
      <c r="E237" s="3">
        <v>44987</v>
      </c>
      <c r="F237" s="3">
        <v>44992</v>
      </c>
      <c r="G237" s="4">
        <v>697</v>
      </c>
      <c r="H237" s="4">
        <v>5</v>
      </c>
      <c r="I237" s="2" t="s">
        <v>55</v>
      </c>
      <c r="J237" s="2" t="s">
        <v>57</v>
      </c>
      <c r="K237" s="4">
        <v>3</v>
      </c>
      <c r="L237" s="4">
        <v>394.5</v>
      </c>
      <c r="M237" s="4">
        <v>1183.5</v>
      </c>
      <c r="N237" s="2" t="s">
        <v>20</v>
      </c>
    </row>
    <row r="238" spans="1:14" ht="15" x14ac:dyDescent="0.25">
      <c r="A238" s="2" t="s">
        <v>284</v>
      </c>
      <c r="B238" s="2" t="s">
        <v>53</v>
      </c>
      <c r="C238" s="2" t="s">
        <v>29</v>
      </c>
      <c r="D238" s="2" t="s">
        <v>47</v>
      </c>
      <c r="E238" s="3">
        <v>44939</v>
      </c>
      <c r="F238" s="3">
        <v>44941</v>
      </c>
      <c r="G238" s="4">
        <v>276</v>
      </c>
      <c r="H238" s="4">
        <v>2</v>
      </c>
      <c r="I238" s="2" t="s">
        <v>63</v>
      </c>
      <c r="J238" s="2" t="s">
        <v>57</v>
      </c>
      <c r="K238" s="4">
        <v>3</v>
      </c>
      <c r="L238" s="4">
        <v>50.01</v>
      </c>
      <c r="M238" s="4">
        <v>150.03</v>
      </c>
      <c r="N238" s="2" t="s">
        <v>31</v>
      </c>
    </row>
    <row r="239" spans="1:14" ht="15" x14ac:dyDescent="0.25">
      <c r="A239" s="2" t="s">
        <v>285</v>
      </c>
      <c r="B239" s="2" t="s">
        <v>33</v>
      </c>
      <c r="C239" s="2" t="s">
        <v>16</v>
      </c>
      <c r="D239" s="2" t="s">
        <v>17</v>
      </c>
      <c r="E239" s="3">
        <v>45040</v>
      </c>
      <c r="F239" s="3">
        <v>45045</v>
      </c>
      <c r="G239" s="4">
        <v>628</v>
      </c>
      <c r="H239" s="4">
        <v>5</v>
      </c>
      <c r="I239" s="2" t="s">
        <v>30</v>
      </c>
      <c r="J239" s="2" t="s">
        <v>49</v>
      </c>
      <c r="K239" s="4">
        <v>2</v>
      </c>
      <c r="L239" s="4">
        <v>237.45</v>
      </c>
      <c r="M239" s="4">
        <v>474.9</v>
      </c>
      <c r="N239" s="2" t="s">
        <v>26</v>
      </c>
    </row>
    <row r="240" spans="1:14" ht="15" x14ac:dyDescent="0.25">
      <c r="A240" s="2" t="s">
        <v>286</v>
      </c>
      <c r="B240" s="2" t="s">
        <v>22</v>
      </c>
      <c r="C240" s="2" t="s">
        <v>61</v>
      </c>
      <c r="D240" s="2" t="s">
        <v>47</v>
      </c>
      <c r="E240" s="3">
        <v>45211</v>
      </c>
      <c r="F240" s="3">
        <v>45215</v>
      </c>
      <c r="G240" s="4">
        <v>709</v>
      </c>
      <c r="H240" s="4">
        <v>4</v>
      </c>
      <c r="I240" s="2" t="s">
        <v>24</v>
      </c>
      <c r="J240" s="2" t="s">
        <v>57</v>
      </c>
      <c r="K240" s="4">
        <v>4</v>
      </c>
      <c r="L240" s="4">
        <v>285.13</v>
      </c>
      <c r="M240" s="4">
        <v>1140.52</v>
      </c>
      <c r="N240" s="2" t="s">
        <v>26</v>
      </c>
    </row>
    <row r="241" spans="1:14" ht="15" x14ac:dyDescent="0.25">
      <c r="A241" s="2" t="s">
        <v>287</v>
      </c>
      <c r="B241" s="2" t="s">
        <v>75</v>
      </c>
      <c r="C241" s="2" t="s">
        <v>16</v>
      </c>
      <c r="D241" s="2" t="s">
        <v>35</v>
      </c>
      <c r="E241" s="3">
        <v>45028</v>
      </c>
      <c r="F241" s="3">
        <v>45035</v>
      </c>
      <c r="G241" s="4">
        <v>593</v>
      </c>
      <c r="H241" s="4">
        <v>7</v>
      </c>
      <c r="I241" s="2" t="s">
        <v>51</v>
      </c>
      <c r="J241" s="2" t="s">
        <v>39</v>
      </c>
      <c r="K241" s="4">
        <v>1</v>
      </c>
      <c r="L241" s="4">
        <v>74.59</v>
      </c>
      <c r="M241" s="4">
        <v>74.59</v>
      </c>
      <c r="N241" s="2" t="s">
        <v>26</v>
      </c>
    </row>
    <row r="242" spans="1:14" ht="15" x14ac:dyDescent="0.25">
      <c r="A242" s="2" t="s">
        <v>288</v>
      </c>
      <c r="B242" s="2" t="s">
        <v>53</v>
      </c>
      <c r="C242" s="2" t="s">
        <v>61</v>
      </c>
      <c r="D242" s="2" t="s">
        <v>54</v>
      </c>
      <c r="E242" s="3">
        <v>45007</v>
      </c>
      <c r="F242" s="3">
        <v>45013</v>
      </c>
      <c r="G242" s="4">
        <v>297</v>
      </c>
      <c r="H242" s="4">
        <v>6</v>
      </c>
      <c r="I242" s="2" t="s">
        <v>55</v>
      </c>
      <c r="J242" s="2" t="s">
        <v>25</v>
      </c>
      <c r="K242" s="4">
        <v>1</v>
      </c>
      <c r="L242" s="4">
        <v>487.89</v>
      </c>
      <c r="M242" s="4">
        <v>487.89</v>
      </c>
      <c r="N242" s="2" t="s">
        <v>43</v>
      </c>
    </row>
    <row r="243" spans="1:14" ht="15" x14ac:dyDescent="0.25">
      <c r="A243" s="2" t="s">
        <v>289</v>
      </c>
      <c r="B243" s="2" t="s">
        <v>75</v>
      </c>
      <c r="C243" s="2" t="s">
        <v>46</v>
      </c>
      <c r="D243" s="2" t="s">
        <v>17</v>
      </c>
      <c r="E243" s="3">
        <v>45004</v>
      </c>
      <c r="F243" s="3">
        <v>45006</v>
      </c>
      <c r="G243" s="4">
        <v>709</v>
      </c>
      <c r="H243" s="4">
        <v>2</v>
      </c>
      <c r="I243" s="2" t="s">
        <v>55</v>
      </c>
      <c r="J243" s="2" t="s">
        <v>49</v>
      </c>
      <c r="K243" s="4">
        <v>4</v>
      </c>
      <c r="L243" s="4">
        <v>151.76</v>
      </c>
      <c r="M243" s="4">
        <v>607.04</v>
      </c>
      <c r="N243" s="2" t="s">
        <v>26</v>
      </c>
    </row>
    <row r="244" spans="1:14" ht="15" x14ac:dyDescent="0.25">
      <c r="A244" s="2" t="s">
        <v>290</v>
      </c>
      <c r="B244" s="2" t="s">
        <v>41</v>
      </c>
      <c r="C244" s="2" t="s">
        <v>37</v>
      </c>
      <c r="D244" s="2" t="s">
        <v>47</v>
      </c>
      <c r="E244" s="3">
        <v>45115</v>
      </c>
      <c r="F244" s="3">
        <v>45120</v>
      </c>
      <c r="G244" s="4">
        <v>676</v>
      </c>
      <c r="H244" s="4">
        <v>5</v>
      </c>
      <c r="I244" s="2" t="s">
        <v>18</v>
      </c>
      <c r="J244" s="2" t="s">
        <v>49</v>
      </c>
      <c r="K244" s="4">
        <v>4</v>
      </c>
      <c r="L244" s="4">
        <v>186.89</v>
      </c>
      <c r="M244" s="4">
        <v>747.56</v>
      </c>
      <c r="N244" s="2" t="s">
        <v>20</v>
      </c>
    </row>
    <row r="245" spans="1:14" ht="15" x14ac:dyDescent="0.25">
      <c r="A245" s="2" t="s">
        <v>291</v>
      </c>
      <c r="B245" s="2" t="s">
        <v>28</v>
      </c>
      <c r="C245" s="2" t="s">
        <v>46</v>
      </c>
      <c r="D245" s="2" t="s">
        <v>17</v>
      </c>
      <c r="E245" s="3">
        <v>45283</v>
      </c>
      <c r="F245" s="3">
        <v>45290</v>
      </c>
      <c r="G245" s="4">
        <v>941</v>
      </c>
      <c r="H245" s="4">
        <v>7</v>
      </c>
      <c r="I245" s="2" t="s">
        <v>30</v>
      </c>
      <c r="J245" s="2" t="s">
        <v>19</v>
      </c>
      <c r="K245" s="4">
        <v>2</v>
      </c>
      <c r="L245" s="4">
        <v>186.77</v>
      </c>
      <c r="M245" s="4">
        <v>373.54</v>
      </c>
      <c r="N245" s="2" t="s">
        <v>43</v>
      </c>
    </row>
    <row r="246" spans="1:14" ht="15" x14ac:dyDescent="0.25">
      <c r="A246" s="2" t="s">
        <v>292</v>
      </c>
      <c r="B246" s="2" t="s">
        <v>53</v>
      </c>
      <c r="C246" s="2" t="s">
        <v>29</v>
      </c>
      <c r="D246" s="2" t="s">
        <v>47</v>
      </c>
      <c r="E246" s="3">
        <v>45094</v>
      </c>
      <c r="F246" s="3">
        <v>45101</v>
      </c>
      <c r="G246" s="4">
        <v>952</v>
      </c>
      <c r="H246" s="4">
        <v>7</v>
      </c>
      <c r="I246" s="2" t="s">
        <v>30</v>
      </c>
      <c r="J246" s="2" t="s">
        <v>57</v>
      </c>
      <c r="K246" s="4">
        <v>4</v>
      </c>
      <c r="L246" s="4">
        <v>153.69</v>
      </c>
      <c r="M246" s="4">
        <v>614.76</v>
      </c>
      <c r="N246" s="2" t="s">
        <v>43</v>
      </c>
    </row>
    <row r="247" spans="1:14" ht="15" x14ac:dyDescent="0.25">
      <c r="A247" s="2" t="s">
        <v>293</v>
      </c>
      <c r="B247" s="2" t="s">
        <v>28</v>
      </c>
      <c r="C247" s="2" t="s">
        <v>61</v>
      </c>
      <c r="D247" s="2" t="s">
        <v>35</v>
      </c>
      <c r="E247" s="3">
        <v>45130</v>
      </c>
      <c r="F247" s="3">
        <v>45135</v>
      </c>
      <c r="G247" s="4">
        <v>616</v>
      </c>
      <c r="H247" s="4">
        <v>5</v>
      </c>
      <c r="I247" s="2" t="s">
        <v>42</v>
      </c>
      <c r="J247" s="2" t="s">
        <v>57</v>
      </c>
      <c r="K247" s="4">
        <v>1</v>
      </c>
      <c r="L247" s="4">
        <v>50.66</v>
      </c>
      <c r="M247" s="4">
        <v>50.66</v>
      </c>
      <c r="N247" s="2" t="s">
        <v>20</v>
      </c>
    </row>
    <row r="248" spans="1:14" ht="15" x14ac:dyDescent="0.25">
      <c r="A248" s="2" t="s">
        <v>294</v>
      </c>
      <c r="B248" s="2" t="s">
        <v>28</v>
      </c>
      <c r="C248" s="2" t="s">
        <v>29</v>
      </c>
      <c r="D248" s="2" t="s">
        <v>35</v>
      </c>
      <c r="E248" s="3">
        <v>45241</v>
      </c>
      <c r="F248" s="3">
        <v>45250</v>
      </c>
      <c r="G248" s="4">
        <v>613</v>
      </c>
      <c r="H248" s="4">
        <v>9</v>
      </c>
      <c r="I248" s="2" t="s">
        <v>24</v>
      </c>
      <c r="J248" s="2" t="s">
        <v>19</v>
      </c>
      <c r="K248" s="4">
        <v>1</v>
      </c>
      <c r="L248" s="4">
        <v>378.21</v>
      </c>
      <c r="M248" s="4">
        <v>378.21</v>
      </c>
      <c r="N248" s="2" t="s">
        <v>20</v>
      </c>
    </row>
    <row r="249" spans="1:14" ht="15" x14ac:dyDescent="0.25">
      <c r="A249" s="2" t="s">
        <v>295</v>
      </c>
      <c r="B249" s="2" t="s">
        <v>41</v>
      </c>
      <c r="C249" s="2" t="s">
        <v>61</v>
      </c>
      <c r="D249" s="2" t="s">
        <v>23</v>
      </c>
      <c r="E249" s="3">
        <v>45122</v>
      </c>
      <c r="F249" s="3">
        <v>45126</v>
      </c>
      <c r="G249" s="4">
        <v>121</v>
      </c>
      <c r="H249" s="4">
        <v>4</v>
      </c>
      <c r="I249" s="2" t="s">
        <v>51</v>
      </c>
      <c r="J249" s="2" t="s">
        <v>57</v>
      </c>
      <c r="K249" s="4">
        <v>1</v>
      </c>
      <c r="L249" s="4">
        <v>485.08</v>
      </c>
      <c r="M249" s="4">
        <v>485.08</v>
      </c>
      <c r="N249" s="2" t="s">
        <v>20</v>
      </c>
    </row>
    <row r="250" spans="1:14" ht="15" x14ac:dyDescent="0.25">
      <c r="A250" s="2" t="s">
        <v>296</v>
      </c>
      <c r="B250" s="2" t="s">
        <v>33</v>
      </c>
      <c r="C250" s="2" t="s">
        <v>46</v>
      </c>
      <c r="D250" s="2" t="s">
        <v>17</v>
      </c>
      <c r="E250" s="3">
        <v>44994</v>
      </c>
      <c r="F250" s="3">
        <v>44997</v>
      </c>
      <c r="G250" s="4">
        <v>211</v>
      </c>
      <c r="H250" s="4">
        <v>3</v>
      </c>
      <c r="I250" s="2" t="s">
        <v>63</v>
      </c>
      <c r="J250" s="2" t="s">
        <v>57</v>
      </c>
      <c r="K250" s="4">
        <v>1</v>
      </c>
      <c r="L250" s="4">
        <v>150.93</v>
      </c>
      <c r="M250" s="4">
        <v>150.93</v>
      </c>
      <c r="N250" s="2" t="s">
        <v>20</v>
      </c>
    </row>
    <row r="251" spans="1:14" ht="15" x14ac:dyDescent="0.25">
      <c r="A251" s="2" t="s">
        <v>297</v>
      </c>
      <c r="B251" s="2" t="s">
        <v>45</v>
      </c>
      <c r="C251" s="2" t="s">
        <v>16</v>
      </c>
      <c r="D251" s="2" t="s">
        <v>35</v>
      </c>
      <c r="E251" s="3">
        <v>45036</v>
      </c>
      <c r="F251" s="3">
        <v>45040</v>
      </c>
      <c r="G251" s="4">
        <v>156</v>
      </c>
      <c r="H251" s="4">
        <v>4</v>
      </c>
      <c r="I251" s="2" t="s">
        <v>24</v>
      </c>
      <c r="J251" s="2" t="s">
        <v>39</v>
      </c>
      <c r="K251" s="4">
        <v>1</v>
      </c>
      <c r="L251" s="4">
        <v>348.37</v>
      </c>
      <c r="M251" s="4">
        <v>348.37</v>
      </c>
      <c r="N251" s="2" t="s">
        <v>43</v>
      </c>
    </row>
    <row r="252" spans="1:14" ht="15" x14ac:dyDescent="0.25">
      <c r="A252" s="2" t="s">
        <v>298</v>
      </c>
      <c r="B252" s="2" t="s">
        <v>53</v>
      </c>
      <c r="C252" s="2" t="s">
        <v>16</v>
      </c>
      <c r="D252" s="2" t="s">
        <v>35</v>
      </c>
      <c r="E252" s="3">
        <v>45040</v>
      </c>
      <c r="F252" s="3">
        <v>45045</v>
      </c>
      <c r="G252" s="4">
        <v>165</v>
      </c>
      <c r="H252" s="4">
        <v>5</v>
      </c>
      <c r="I252" s="2" t="s">
        <v>30</v>
      </c>
      <c r="J252" s="2" t="s">
        <v>25</v>
      </c>
      <c r="K252" s="4">
        <v>2</v>
      </c>
      <c r="L252" s="4">
        <v>383.85</v>
      </c>
      <c r="M252" s="4">
        <v>767.7</v>
      </c>
      <c r="N252" s="2" t="s">
        <v>20</v>
      </c>
    </row>
    <row r="253" spans="1:14" ht="15" x14ac:dyDescent="0.25">
      <c r="A253" s="2" t="s">
        <v>299</v>
      </c>
      <c r="B253" s="2" t="s">
        <v>75</v>
      </c>
      <c r="C253" s="2" t="s">
        <v>34</v>
      </c>
      <c r="D253" s="2" t="s">
        <v>47</v>
      </c>
      <c r="E253" s="3">
        <v>45072</v>
      </c>
      <c r="F253" s="3">
        <v>45078</v>
      </c>
      <c r="G253" s="4">
        <v>941</v>
      </c>
      <c r="H253" s="4">
        <v>6</v>
      </c>
      <c r="I253" s="2" t="s">
        <v>18</v>
      </c>
      <c r="J253" s="2" t="s">
        <v>39</v>
      </c>
      <c r="K253" s="4">
        <v>1</v>
      </c>
      <c r="L253" s="4">
        <v>431.79</v>
      </c>
      <c r="M253" s="4">
        <v>431.79</v>
      </c>
      <c r="N253" s="2" t="s">
        <v>26</v>
      </c>
    </row>
    <row r="254" spans="1:14" ht="15" x14ac:dyDescent="0.25">
      <c r="A254" s="2" t="s">
        <v>300</v>
      </c>
      <c r="B254" s="2" t="s">
        <v>22</v>
      </c>
      <c r="C254" s="2" t="s">
        <v>37</v>
      </c>
      <c r="D254" s="2" t="s">
        <v>23</v>
      </c>
      <c r="E254" s="3">
        <v>45082</v>
      </c>
      <c r="F254" s="3">
        <v>45085</v>
      </c>
      <c r="G254" s="4">
        <v>197</v>
      </c>
      <c r="H254" s="4">
        <v>3</v>
      </c>
      <c r="I254" s="2" t="s">
        <v>18</v>
      </c>
      <c r="J254" s="2" t="s">
        <v>19</v>
      </c>
      <c r="K254" s="4">
        <v>2</v>
      </c>
      <c r="L254" s="4">
        <v>240.18</v>
      </c>
      <c r="M254" s="4">
        <v>480.36</v>
      </c>
      <c r="N254" s="2" t="s">
        <v>31</v>
      </c>
    </row>
    <row r="255" spans="1:14" ht="15" x14ac:dyDescent="0.25">
      <c r="A255" s="2" t="s">
        <v>301</v>
      </c>
      <c r="B255" s="2" t="s">
        <v>53</v>
      </c>
      <c r="C255" s="2" t="s">
        <v>76</v>
      </c>
      <c r="D255" s="2" t="s">
        <v>35</v>
      </c>
      <c r="E255" s="3">
        <v>45218</v>
      </c>
      <c r="F255" s="3">
        <v>45220</v>
      </c>
      <c r="G255" s="4">
        <v>243</v>
      </c>
      <c r="H255" s="4">
        <v>2</v>
      </c>
      <c r="I255" s="2" t="s">
        <v>30</v>
      </c>
      <c r="J255" s="2" t="s">
        <v>57</v>
      </c>
      <c r="K255" s="4">
        <v>1</v>
      </c>
      <c r="L255" s="4">
        <v>186.32</v>
      </c>
      <c r="M255" s="4">
        <v>186.32</v>
      </c>
      <c r="N255" s="2" t="s">
        <v>31</v>
      </c>
    </row>
    <row r="256" spans="1:14" ht="15" x14ac:dyDescent="0.25">
      <c r="A256" s="2" t="s">
        <v>302</v>
      </c>
      <c r="B256" s="2" t="s">
        <v>33</v>
      </c>
      <c r="C256" s="2" t="s">
        <v>61</v>
      </c>
      <c r="D256" s="2" t="s">
        <v>17</v>
      </c>
      <c r="E256" s="3">
        <v>45054</v>
      </c>
      <c r="F256" s="3">
        <v>45058</v>
      </c>
      <c r="G256" s="4">
        <v>979</v>
      </c>
      <c r="H256" s="4">
        <v>4</v>
      </c>
      <c r="I256" s="2" t="s">
        <v>42</v>
      </c>
      <c r="J256" s="2" t="s">
        <v>19</v>
      </c>
      <c r="K256" s="4">
        <v>3</v>
      </c>
      <c r="L256" s="4">
        <v>196.38</v>
      </c>
      <c r="M256" s="4">
        <v>589.14</v>
      </c>
      <c r="N256" s="2" t="s">
        <v>31</v>
      </c>
    </row>
    <row r="257" spans="1:14" ht="15" x14ac:dyDescent="0.25">
      <c r="A257" s="2" t="s">
        <v>303</v>
      </c>
      <c r="B257" s="2" t="s">
        <v>45</v>
      </c>
      <c r="C257" s="2" t="s">
        <v>29</v>
      </c>
      <c r="D257" s="2" t="s">
        <v>54</v>
      </c>
      <c r="E257" s="3">
        <v>45097</v>
      </c>
      <c r="F257" s="3">
        <v>45102</v>
      </c>
      <c r="G257" s="4">
        <v>534</v>
      </c>
      <c r="H257" s="4">
        <v>5</v>
      </c>
      <c r="I257" s="2" t="s">
        <v>63</v>
      </c>
      <c r="J257" s="2" t="s">
        <v>39</v>
      </c>
      <c r="K257" s="4">
        <v>3</v>
      </c>
      <c r="L257" s="4">
        <v>370.68</v>
      </c>
      <c r="M257" s="4">
        <v>1112.04</v>
      </c>
      <c r="N257" s="2" t="s">
        <v>31</v>
      </c>
    </row>
    <row r="258" spans="1:14" ht="15" x14ac:dyDescent="0.25">
      <c r="A258" s="2" t="s">
        <v>304</v>
      </c>
      <c r="B258" s="2" t="s">
        <v>41</v>
      </c>
      <c r="C258" s="2" t="s">
        <v>34</v>
      </c>
      <c r="D258" s="2" t="s">
        <v>17</v>
      </c>
      <c r="E258" s="3">
        <v>45155</v>
      </c>
      <c r="F258" s="3">
        <v>45159</v>
      </c>
      <c r="G258" s="4">
        <v>736</v>
      </c>
      <c r="H258" s="4">
        <v>4</v>
      </c>
      <c r="I258" s="2" t="s">
        <v>24</v>
      </c>
      <c r="J258" s="2" t="s">
        <v>57</v>
      </c>
      <c r="K258" s="4">
        <v>3</v>
      </c>
      <c r="L258" s="4">
        <v>417.55</v>
      </c>
      <c r="M258" s="4">
        <v>1252.6500000000001</v>
      </c>
      <c r="N258" s="2" t="s">
        <v>31</v>
      </c>
    </row>
    <row r="259" spans="1:14" ht="15" x14ac:dyDescent="0.25">
      <c r="A259" s="2" t="s">
        <v>305</v>
      </c>
      <c r="B259" s="2" t="s">
        <v>45</v>
      </c>
      <c r="C259" s="2" t="s">
        <v>37</v>
      </c>
      <c r="D259" s="2" t="s">
        <v>35</v>
      </c>
      <c r="E259" s="3">
        <v>45064</v>
      </c>
      <c r="F259" s="3">
        <v>45067</v>
      </c>
      <c r="G259" s="4">
        <v>778</v>
      </c>
      <c r="H259" s="4">
        <v>3</v>
      </c>
      <c r="I259" s="2" t="s">
        <v>63</v>
      </c>
      <c r="J259" s="2" t="s">
        <v>19</v>
      </c>
      <c r="K259" s="4">
        <v>3</v>
      </c>
      <c r="L259" s="4">
        <v>131.72999999999999</v>
      </c>
      <c r="M259" s="4">
        <v>395.19</v>
      </c>
      <c r="N259" s="2" t="s">
        <v>26</v>
      </c>
    </row>
    <row r="260" spans="1:14" ht="15" x14ac:dyDescent="0.25">
      <c r="A260" s="2" t="s">
        <v>306</v>
      </c>
      <c r="B260" s="2" t="s">
        <v>33</v>
      </c>
      <c r="C260" s="2" t="s">
        <v>16</v>
      </c>
      <c r="D260" s="2" t="s">
        <v>54</v>
      </c>
      <c r="E260" s="3">
        <v>45232</v>
      </c>
      <c r="F260" s="3">
        <v>45240</v>
      </c>
      <c r="G260" s="4">
        <v>185</v>
      </c>
      <c r="H260" s="4">
        <v>8</v>
      </c>
      <c r="I260" s="2" t="s">
        <v>42</v>
      </c>
      <c r="J260" s="2" t="s">
        <v>19</v>
      </c>
      <c r="K260" s="4">
        <v>2</v>
      </c>
      <c r="L260" s="4">
        <v>216.92</v>
      </c>
      <c r="M260" s="4">
        <v>433.84</v>
      </c>
      <c r="N260" s="2" t="s">
        <v>31</v>
      </c>
    </row>
    <row r="261" spans="1:14" ht="15" x14ac:dyDescent="0.25">
      <c r="A261" s="2" t="s">
        <v>307</v>
      </c>
      <c r="B261" s="2" t="s">
        <v>15</v>
      </c>
      <c r="C261" s="2" t="s">
        <v>34</v>
      </c>
      <c r="D261" s="2" t="s">
        <v>17</v>
      </c>
      <c r="E261" s="3">
        <v>45141</v>
      </c>
      <c r="F261" s="3">
        <v>45145</v>
      </c>
      <c r="G261" s="4">
        <v>687</v>
      </c>
      <c r="H261" s="4">
        <v>4</v>
      </c>
      <c r="I261" s="2" t="s">
        <v>24</v>
      </c>
      <c r="J261" s="2" t="s">
        <v>57</v>
      </c>
      <c r="K261" s="4">
        <v>2</v>
      </c>
      <c r="L261" s="4">
        <v>455.87</v>
      </c>
      <c r="M261" s="4">
        <v>911.74</v>
      </c>
      <c r="N261" s="2" t="s">
        <v>20</v>
      </c>
    </row>
    <row r="262" spans="1:14" ht="15" x14ac:dyDescent="0.25">
      <c r="A262" s="2" t="s">
        <v>308</v>
      </c>
      <c r="B262" s="2" t="s">
        <v>41</v>
      </c>
      <c r="C262" s="2" t="s">
        <v>76</v>
      </c>
      <c r="D262" s="2" t="s">
        <v>23</v>
      </c>
      <c r="E262" s="3">
        <v>45034</v>
      </c>
      <c r="F262" s="3">
        <v>45036</v>
      </c>
      <c r="G262" s="4">
        <v>443</v>
      </c>
      <c r="H262" s="4">
        <v>2</v>
      </c>
      <c r="I262" s="2" t="s">
        <v>18</v>
      </c>
      <c r="J262" s="2" t="s">
        <v>39</v>
      </c>
      <c r="K262" s="4">
        <v>4</v>
      </c>
      <c r="L262" s="4">
        <v>413.01</v>
      </c>
      <c r="M262" s="4">
        <v>1652.04</v>
      </c>
      <c r="N262" s="2" t="s">
        <v>20</v>
      </c>
    </row>
    <row r="263" spans="1:14" ht="15" x14ac:dyDescent="0.25">
      <c r="A263" s="2" t="s">
        <v>309</v>
      </c>
      <c r="B263" s="2" t="s">
        <v>28</v>
      </c>
      <c r="C263" s="2" t="s">
        <v>37</v>
      </c>
      <c r="D263" s="2" t="s">
        <v>17</v>
      </c>
      <c r="E263" s="3">
        <v>45187</v>
      </c>
      <c r="F263" s="3">
        <v>45189</v>
      </c>
      <c r="G263" s="4">
        <v>393</v>
      </c>
      <c r="H263" s="4">
        <v>2</v>
      </c>
      <c r="I263" s="2" t="s">
        <v>51</v>
      </c>
      <c r="J263" s="2" t="s">
        <v>39</v>
      </c>
      <c r="K263" s="4">
        <v>1</v>
      </c>
      <c r="L263" s="4">
        <v>493.19</v>
      </c>
      <c r="M263" s="4">
        <v>493.19</v>
      </c>
      <c r="N263" s="2" t="s">
        <v>20</v>
      </c>
    </row>
    <row r="264" spans="1:14" ht="15" x14ac:dyDescent="0.25">
      <c r="A264" s="2" t="s">
        <v>310</v>
      </c>
      <c r="B264" s="2" t="s">
        <v>53</v>
      </c>
      <c r="C264" s="2" t="s">
        <v>37</v>
      </c>
      <c r="D264" s="2" t="s">
        <v>54</v>
      </c>
      <c r="E264" s="3">
        <v>45119</v>
      </c>
      <c r="F264" s="3">
        <v>45120</v>
      </c>
      <c r="G264" s="4">
        <v>670</v>
      </c>
      <c r="H264" s="4">
        <v>1</v>
      </c>
      <c r="I264" s="2" t="s">
        <v>18</v>
      </c>
      <c r="J264" s="2" t="s">
        <v>57</v>
      </c>
      <c r="K264" s="4">
        <v>3</v>
      </c>
      <c r="L264" s="4">
        <v>389.41</v>
      </c>
      <c r="M264" s="4">
        <v>1168.23</v>
      </c>
      <c r="N264" s="2" t="s">
        <v>26</v>
      </c>
    </row>
    <row r="265" spans="1:14" ht="15" x14ac:dyDescent="0.25">
      <c r="A265" s="2" t="s">
        <v>311</v>
      </c>
      <c r="B265" s="2" t="s">
        <v>33</v>
      </c>
      <c r="C265" s="2" t="s">
        <v>16</v>
      </c>
      <c r="D265" s="2" t="s">
        <v>23</v>
      </c>
      <c r="E265" s="3">
        <v>45122</v>
      </c>
      <c r="F265" s="3">
        <v>45126</v>
      </c>
      <c r="G265" s="4">
        <v>749</v>
      </c>
      <c r="H265" s="4">
        <v>4</v>
      </c>
      <c r="I265" s="2" t="s">
        <v>51</v>
      </c>
      <c r="J265" s="2" t="s">
        <v>19</v>
      </c>
      <c r="K265" s="4">
        <v>2</v>
      </c>
      <c r="L265" s="4">
        <v>226.94</v>
      </c>
      <c r="M265" s="4">
        <v>453.88</v>
      </c>
      <c r="N265" s="2" t="s">
        <v>43</v>
      </c>
    </row>
    <row r="266" spans="1:14" ht="15" x14ac:dyDescent="0.25">
      <c r="A266" s="2" t="s">
        <v>312</v>
      </c>
      <c r="B266" s="2" t="s">
        <v>28</v>
      </c>
      <c r="C266" s="2" t="s">
        <v>37</v>
      </c>
      <c r="D266" s="2" t="s">
        <v>23</v>
      </c>
      <c r="E266" s="3">
        <v>45102</v>
      </c>
      <c r="F266" s="3">
        <v>45111</v>
      </c>
      <c r="G266" s="4">
        <v>710</v>
      </c>
      <c r="H266" s="4">
        <v>9</v>
      </c>
      <c r="I266" s="2" t="s">
        <v>55</v>
      </c>
      <c r="J266" s="2" t="s">
        <v>49</v>
      </c>
      <c r="K266" s="4">
        <v>1</v>
      </c>
      <c r="L266" s="4">
        <v>315.79000000000002</v>
      </c>
      <c r="M266" s="4">
        <v>315.79000000000002</v>
      </c>
      <c r="N266" s="2" t="s">
        <v>26</v>
      </c>
    </row>
    <row r="267" spans="1:14" ht="15" x14ac:dyDescent="0.25">
      <c r="A267" s="2" t="s">
        <v>313</v>
      </c>
      <c r="B267" s="2" t="s">
        <v>15</v>
      </c>
      <c r="C267" s="2" t="s">
        <v>46</v>
      </c>
      <c r="D267" s="2" t="s">
        <v>23</v>
      </c>
      <c r="E267" s="3">
        <v>45108</v>
      </c>
      <c r="F267" s="3">
        <v>45115</v>
      </c>
      <c r="G267" s="4">
        <v>803</v>
      </c>
      <c r="H267" s="4">
        <v>7</v>
      </c>
      <c r="I267" s="2" t="s">
        <v>30</v>
      </c>
      <c r="J267" s="2" t="s">
        <v>49</v>
      </c>
      <c r="K267" s="4">
        <v>1</v>
      </c>
      <c r="L267" s="4">
        <v>347.46</v>
      </c>
      <c r="M267" s="4">
        <v>347.46</v>
      </c>
      <c r="N267" s="2" t="s">
        <v>31</v>
      </c>
    </row>
    <row r="268" spans="1:14" ht="15" x14ac:dyDescent="0.25">
      <c r="A268" s="2" t="s">
        <v>314</v>
      </c>
      <c r="B268" s="2" t="s">
        <v>33</v>
      </c>
      <c r="C268" s="2" t="s">
        <v>16</v>
      </c>
      <c r="D268" s="2" t="s">
        <v>54</v>
      </c>
      <c r="E268" s="3">
        <v>45206</v>
      </c>
      <c r="F268" s="3">
        <v>45213</v>
      </c>
      <c r="G268" s="4">
        <v>342</v>
      </c>
      <c r="H268" s="4">
        <v>7</v>
      </c>
      <c r="I268" s="2" t="s">
        <v>30</v>
      </c>
      <c r="J268" s="2" t="s">
        <v>39</v>
      </c>
      <c r="K268" s="4">
        <v>2</v>
      </c>
      <c r="L268" s="4">
        <v>85.31</v>
      </c>
      <c r="M268" s="4">
        <v>170.62</v>
      </c>
      <c r="N268" s="2" t="s">
        <v>26</v>
      </c>
    </row>
    <row r="269" spans="1:14" ht="15" x14ac:dyDescent="0.25">
      <c r="A269" s="2" t="s">
        <v>315</v>
      </c>
      <c r="B269" s="2" t="s">
        <v>53</v>
      </c>
      <c r="C269" s="2" t="s">
        <v>76</v>
      </c>
      <c r="D269" s="2" t="s">
        <v>47</v>
      </c>
      <c r="E269" s="3">
        <v>44964</v>
      </c>
      <c r="F269" s="3">
        <v>44971</v>
      </c>
      <c r="G269" s="4">
        <v>930</v>
      </c>
      <c r="H269" s="4">
        <v>7</v>
      </c>
      <c r="I269" s="2" t="s">
        <v>55</v>
      </c>
      <c r="J269" s="2" t="s">
        <v>49</v>
      </c>
      <c r="K269" s="4">
        <v>3</v>
      </c>
      <c r="L269" s="4">
        <v>295.02</v>
      </c>
      <c r="M269" s="4">
        <v>885.06</v>
      </c>
      <c r="N269" s="2" t="s">
        <v>43</v>
      </c>
    </row>
    <row r="270" spans="1:14" ht="15" x14ac:dyDescent="0.25">
      <c r="A270" s="2" t="s">
        <v>316</v>
      </c>
      <c r="B270" s="2" t="s">
        <v>41</v>
      </c>
      <c r="C270" s="2" t="s">
        <v>46</v>
      </c>
      <c r="D270" s="2" t="s">
        <v>35</v>
      </c>
      <c r="E270" s="3">
        <v>45049</v>
      </c>
      <c r="F270" s="3">
        <v>45057</v>
      </c>
      <c r="G270" s="4">
        <v>660</v>
      </c>
      <c r="H270" s="4">
        <v>8</v>
      </c>
      <c r="I270" s="2" t="s">
        <v>18</v>
      </c>
      <c r="J270" s="2" t="s">
        <v>49</v>
      </c>
      <c r="K270" s="4">
        <v>4</v>
      </c>
      <c r="L270" s="4">
        <v>369.19</v>
      </c>
      <c r="M270" s="4">
        <v>1476.76</v>
      </c>
      <c r="N270" s="2" t="s">
        <v>43</v>
      </c>
    </row>
    <row r="271" spans="1:14" ht="15" x14ac:dyDescent="0.25">
      <c r="A271" s="2" t="s">
        <v>317</v>
      </c>
      <c r="B271" s="2" t="s">
        <v>15</v>
      </c>
      <c r="C271" s="2" t="s">
        <v>76</v>
      </c>
      <c r="D271" s="2" t="s">
        <v>54</v>
      </c>
      <c r="E271" s="3">
        <v>44954</v>
      </c>
      <c r="F271" s="3">
        <v>44955</v>
      </c>
      <c r="G271" s="4">
        <v>131</v>
      </c>
      <c r="H271" s="4">
        <v>1</v>
      </c>
      <c r="I271" s="2" t="s">
        <v>63</v>
      </c>
      <c r="J271" s="2" t="s">
        <v>49</v>
      </c>
      <c r="K271" s="4">
        <v>1</v>
      </c>
      <c r="L271" s="4">
        <v>125.29</v>
      </c>
      <c r="M271" s="4">
        <v>125.29</v>
      </c>
      <c r="N271" s="2" t="s">
        <v>20</v>
      </c>
    </row>
    <row r="272" spans="1:14" ht="15" x14ac:dyDescent="0.25">
      <c r="A272" s="2" t="s">
        <v>318</v>
      </c>
      <c r="B272" s="2" t="s">
        <v>22</v>
      </c>
      <c r="C272" s="2" t="s">
        <v>29</v>
      </c>
      <c r="D272" s="2" t="s">
        <v>23</v>
      </c>
      <c r="E272" s="3">
        <v>45201</v>
      </c>
      <c r="F272" s="3">
        <v>45209</v>
      </c>
      <c r="G272" s="4">
        <v>490</v>
      </c>
      <c r="H272" s="4">
        <v>8</v>
      </c>
      <c r="I272" s="2" t="s">
        <v>55</v>
      </c>
      <c r="J272" s="2" t="s">
        <v>49</v>
      </c>
      <c r="K272" s="4">
        <v>4</v>
      </c>
      <c r="L272" s="4">
        <v>401.28</v>
      </c>
      <c r="M272" s="4">
        <v>1605.12</v>
      </c>
      <c r="N272" s="2" t="s">
        <v>31</v>
      </c>
    </row>
    <row r="273" spans="1:14" ht="15" x14ac:dyDescent="0.25">
      <c r="A273" s="2" t="s">
        <v>319</v>
      </c>
      <c r="B273" s="2" t="s">
        <v>75</v>
      </c>
      <c r="C273" s="2" t="s">
        <v>37</v>
      </c>
      <c r="D273" s="2" t="s">
        <v>17</v>
      </c>
      <c r="E273" s="3">
        <v>45026</v>
      </c>
      <c r="F273" s="3">
        <v>45030</v>
      </c>
      <c r="G273" s="4">
        <v>376</v>
      </c>
      <c r="H273" s="4">
        <v>4</v>
      </c>
      <c r="I273" s="2" t="s">
        <v>42</v>
      </c>
      <c r="J273" s="2" t="s">
        <v>57</v>
      </c>
      <c r="K273" s="4">
        <v>3</v>
      </c>
      <c r="L273" s="4">
        <v>312.7</v>
      </c>
      <c r="M273" s="4">
        <v>938.1</v>
      </c>
      <c r="N273" s="2" t="s">
        <v>43</v>
      </c>
    </row>
    <row r="274" spans="1:14" ht="15" x14ac:dyDescent="0.25">
      <c r="A274" s="2" t="s">
        <v>320</v>
      </c>
      <c r="B274" s="2" t="s">
        <v>75</v>
      </c>
      <c r="C274" s="2" t="s">
        <v>29</v>
      </c>
      <c r="D274" s="2" t="s">
        <v>54</v>
      </c>
      <c r="E274" s="3">
        <v>45254</v>
      </c>
      <c r="F274" s="3">
        <v>45258</v>
      </c>
      <c r="G274" s="4">
        <v>631</v>
      </c>
      <c r="H274" s="4">
        <v>4</v>
      </c>
      <c r="I274" s="2" t="s">
        <v>55</v>
      </c>
      <c r="J274" s="2" t="s">
        <v>49</v>
      </c>
      <c r="K274" s="4">
        <v>3</v>
      </c>
      <c r="L274" s="4">
        <v>478.5</v>
      </c>
      <c r="M274" s="4">
        <v>1435.5</v>
      </c>
      <c r="N274" s="2" t="s">
        <v>26</v>
      </c>
    </row>
    <row r="275" spans="1:14" ht="15" x14ac:dyDescent="0.25">
      <c r="A275" s="2" t="s">
        <v>321</v>
      </c>
      <c r="B275" s="2" t="s">
        <v>75</v>
      </c>
      <c r="C275" s="2" t="s">
        <v>76</v>
      </c>
      <c r="D275" s="2" t="s">
        <v>47</v>
      </c>
      <c r="E275" s="3">
        <v>45119</v>
      </c>
      <c r="F275" s="3">
        <v>45123</v>
      </c>
      <c r="G275" s="4">
        <v>253</v>
      </c>
      <c r="H275" s="4">
        <v>4</v>
      </c>
      <c r="I275" s="2" t="s">
        <v>63</v>
      </c>
      <c r="J275" s="2" t="s">
        <v>57</v>
      </c>
      <c r="K275" s="4">
        <v>4</v>
      </c>
      <c r="L275" s="4">
        <v>69.09</v>
      </c>
      <c r="M275" s="4">
        <v>276.36</v>
      </c>
      <c r="N275" s="2" t="s">
        <v>43</v>
      </c>
    </row>
    <row r="276" spans="1:14" ht="15" x14ac:dyDescent="0.25">
      <c r="A276" s="2" t="s">
        <v>322</v>
      </c>
      <c r="B276" s="2" t="s">
        <v>33</v>
      </c>
      <c r="C276" s="2" t="s">
        <v>29</v>
      </c>
      <c r="D276" s="2" t="s">
        <v>23</v>
      </c>
      <c r="E276" s="3">
        <v>45219</v>
      </c>
      <c r="F276" s="3">
        <v>45225</v>
      </c>
      <c r="G276" s="4">
        <v>482</v>
      </c>
      <c r="H276" s="4">
        <v>6</v>
      </c>
      <c r="I276" s="2" t="s">
        <v>18</v>
      </c>
      <c r="J276" s="2" t="s">
        <v>57</v>
      </c>
      <c r="K276" s="4">
        <v>3</v>
      </c>
      <c r="L276" s="4">
        <v>169.4</v>
      </c>
      <c r="M276" s="4">
        <v>508.2</v>
      </c>
      <c r="N276" s="2" t="s">
        <v>20</v>
      </c>
    </row>
    <row r="277" spans="1:14" ht="15" x14ac:dyDescent="0.25">
      <c r="A277" s="2" t="s">
        <v>323</v>
      </c>
      <c r="B277" s="2" t="s">
        <v>33</v>
      </c>
      <c r="C277" s="2" t="s">
        <v>46</v>
      </c>
      <c r="D277" s="2" t="s">
        <v>35</v>
      </c>
      <c r="E277" s="3">
        <v>45284</v>
      </c>
      <c r="F277" s="3">
        <v>45291</v>
      </c>
      <c r="G277" s="4">
        <v>167</v>
      </c>
      <c r="H277" s="4">
        <v>7</v>
      </c>
      <c r="I277" s="2" t="s">
        <v>63</v>
      </c>
      <c r="J277" s="2" t="s">
        <v>19</v>
      </c>
      <c r="K277" s="4">
        <v>1</v>
      </c>
      <c r="L277" s="4">
        <v>320.7</v>
      </c>
      <c r="M277" s="4">
        <v>320.7</v>
      </c>
      <c r="N277" s="2" t="s">
        <v>20</v>
      </c>
    </row>
    <row r="278" spans="1:14" ht="15" x14ac:dyDescent="0.25">
      <c r="A278" s="2" t="s">
        <v>324</v>
      </c>
      <c r="B278" s="2" t="s">
        <v>75</v>
      </c>
      <c r="C278" s="2" t="s">
        <v>37</v>
      </c>
      <c r="D278" s="2" t="s">
        <v>47</v>
      </c>
      <c r="E278" s="3">
        <v>45233</v>
      </c>
      <c r="F278" s="3">
        <v>45239</v>
      </c>
      <c r="G278" s="4">
        <v>977</v>
      </c>
      <c r="H278" s="4">
        <v>6</v>
      </c>
      <c r="I278" s="2" t="s">
        <v>18</v>
      </c>
      <c r="J278" s="2" t="s">
        <v>19</v>
      </c>
      <c r="K278" s="4">
        <v>4</v>
      </c>
      <c r="L278" s="4">
        <v>183.45</v>
      </c>
      <c r="M278" s="4">
        <v>733.8</v>
      </c>
      <c r="N278" s="2" t="s">
        <v>31</v>
      </c>
    </row>
    <row r="279" spans="1:14" ht="15" x14ac:dyDescent="0.25">
      <c r="A279" s="2" t="s">
        <v>325</v>
      </c>
      <c r="B279" s="2" t="s">
        <v>41</v>
      </c>
      <c r="C279" s="2" t="s">
        <v>61</v>
      </c>
      <c r="D279" s="2" t="s">
        <v>47</v>
      </c>
      <c r="E279" s="3">
        <v>45243</v>
      </c>
      <c r="F279" s="3">
        <v>45244</v>
      </c>
      <c r="G279" s="4">
        <v>983</v>
      </c>
      <c r="H279" s="4">
        <v>1</v>
      </c>
      <c r="I279" s="2" t="s">
        <v>55</v>
      </c>
      <c r="J279" s="2" t="s">
        <v>19</v>
      </c>
      <c r="K279" s="4">
        <v>3</v>
      </c>
      <c r="L279" s="4">
        <v>371.49</v>
      </c>
      <c r="M279" s="4">
        <v>1114.47</v>
      </c>
      <c r="N279" s="2" t="s">
        <v>43</v>
      </c>
    </row>
    <row r="280" spans="1:14" ht="15" x14ac:dyDescent="0.25">
      <c r="A280" s="2" t="s">
        <v>326</v>
      </c>
      <c r="B280" s="2" t="s">
        <v>22</v>
      </c>
      <c r="C280" s="2" t="s">
        <v>16</v>
      </c>
      <c r="D280" s="2" t="s">
        <v>35</v>
      </c>
      <c r="E280" s="3">
        <v>45075</v>
      </c>
      <c r="F280" s="3">
        <v>45083</v>
      </c>
      <c r="G280" s="4">
        <v>313</v>
      </c>
      <c r="H280" s="4">
        <v>8</v>
      </c>
      <c r="I280" s="2" t="s">
        <v>55</v>
      </c>
      <c r="J280" s="2" t="s">
        <v>25</v>
      </c>
      <c r="K280" s="4">
        <v>4</v>
      </c>
      <c r="L280" s="4">
        <v>391.55</v>
      </c>
      <c r="M280" s="4">
        <v>1566.2</v>
      </c>
      <c r="N280" s="2" t="s">
        <v>43</v>
      </c>
    </row>
    <row r="281" spans="1:14" ht="15" x14ac:dyDescent="0.25">
      <c r="A281" s="2" t="s">
        <v>327</v>
      </c>
      <c r="B281" s="2" t="s">
        <v>53</v>
      </c>
      <c r="C281" s="2" t="s">
        <v>29</v>
      </c>
      <c r="D281" s="2" t="s">
        <v>54</v>
      </c>
      <c r="E281" s="3">
        <v>45128</v>
      </c>
      <c r="F281" s="3">
        <v>45135</v>
      </c>
      <c r="G281" s="4">
        <v>754</v>
      </c>
      <c r="H281" s="4">
        <v>7</v>
      </c>
      <c r="I281" s="2" t="s">
        <v>42</v>
      </c>
      <c r="J281" s="2" t="s">
        <v>25</v>
      </c>
      <c r="K281" s="4">
        <v>1</v>
      </c>
      <c r="L281" s="4">
        <v>96.13</v>
      </c>
      <c r="M281" s="4">
        <v>96.13</v>
      </c>
      <c r="N281" s="2" t="s">
        <v>26</v>
      </c>
    </row>
    <row r="282" spans="1:14" ht="15" x14ac:dyDescent="0.25">
      <c r="A282" s="2" t="s">
        <v>328</v>
      </c>
      <c r="B282" s="2" t="s">
        <v>22</v>
      </c>
      <c r="C282" s="2" t="s">
        <v>76</v>
      </c>
      <c r="D282" s="2" t="s">
        <v>17</v>
      </c>
      <c r="E282" s="3">
        <v>45019</v>
      </c>
      <c r="F282" s="3">
        <v>45025</v>
      </c>
      <c r="G282" s="4">
        <v>475</v>
      </c>
      <c r="H282" s="4">
        <v>6</v>
      </c>
      <c r="I282" s="2" t="s">
        <v>63</v>
      </c>
      <c r="J282" s="2" t="s">
        <v>25</v>
      </c>
      <c r="K282" s="4">
        <v>3</v>
      </c>
      <c r="L282" s="4">
        <v>281.23</v>
      </c>
      <c r="M282" s="4">
        <v>843.69</v>
      </c>
      <c r="N282" s="2" t="s">
        <v>31</v>
      </c>
    </row>
    <row r="283" spans="1:14" ht="15" x14ac:dyDescent="0.25">
      <c r="A283" s="2" t="s">
        <v>329</v>
      </c>
      <c r="B283" s="2" t="s">
        <v>41</v>
      </c>
      <c r="C283" s="2" t="s">
        <v>29</v>
      </c>
      <c r="D283" s="2" t="s">
        <v>47</v>
      </c>
      <c r="E283" s="3">
        <v>44998</v>
      </c>
      <c r="F283" s="3">
        <v>45004</v>
      </c>
      <c r="G283" s="4">
        <v>843</v>
      </c>
      <c r="H283" s="4">
        <v>6</v>
      </c>
      <c r="I283" s="2" t="s">
        <v>63</v>
      </c>
      <c r="J283" s="2" t="s">
        <v>25</v>
      </c>
      <c r="K283" s="4">
        <v>1</v>
      </c>
      <c r="L283" s="4">
        <v>279</v>
      </c>
      <c r="M283" s="4">
        <v>279</v>
      </c>
      <c r="N283" s="2" t="s">
        <v>43</v>
      </c>
    </row>
    <row r="284" spans="1:14" ht="15" x14ac:dyDescent="0.25">
      <c r="A284" s="2" t="s">
        <v>330</v>
      </c>
      <c r="B284" s="2" t="s">
        <v>45</v>
      </c>
      <c r="C284" s="2" t="s">
        <v>76</v>
      </c>
      <c r="D284" s="2" t="s">
        <v>35</v>
      </c>
      <c r="E284" s="3">
        <v>45111</v>
      </c>
      <c r="F284" s="3">
        <v>45116</v>
      </c>
      <c r="G284" s="4">
        <v>312</v>
      </c>
      <c r="H284" s="4">
        <v>5</v>
      </c>
      <c r="I284" s="2" t="s">
        <v>63</v>
      </c>
      <c r="J284" s="2" t="s">
        <v>49</v>
      </c>
      <c r="K284" s="4">
        <v>3</v>
      </c>
      <c r="L284" s="4">
        <v>216.18</v>
      </c>
      <c r="M284" s="4">
        <v>648.54</v>
      </c>
      <c r="N284" s="2" t="s">
        <v>31</v>
      </c>
    </row>
    <row r="285" spans="1:14" ht="15" x14ac:dyDescent="0.25">
      <c r="A285" s="2" t="s">
        <v>331</v>
      </c>
      <c r="B285" s="2" t="s">
        <v>45</v>
      </c>
      <c r="C285" s="2" t="s">
        <v>34</v>
      </c>
      <c r="D285" s="2" t="s">
        <v>23</v>
      </c>
      <c r="E285" s="3">
        <v>45144</v>
      </c>
      <c r="F285" s="3">
        <v>45150</v>
      </c>
      <c r="G285" s="4">
        <v>178</v>
      </c>
      <c r="H285" s="4">
        <v>6</v>
      </c>
      <c r="I285" s="2" t="s">
        <v>30</v>
      </c>
      <c r="J285" s="2" t="s">
        <v>39</v>
      </c>
      <c r="K285" s="4">
        <v>2</v>
      </c>
      <c r="L285" s="4">
        <v>469.82</v>
      </c>
      <c r="M285" s="4">
        <v>939.64</v>
      </c>
      <c r="N285" s="2" t="s">
        <v>43</v>
      </c>
    </row>
    <row r="286" spans="1:14" ht="15" x14ac:dyDescent="0.25">
      <c r="A286" s="2" t="s">
        <v>332</v>
      </c>
      <c r="B286" s="2" t="s">
        <v>15</v>
      </c>
      <c r="C286" s="2" t="s">
        <v>29</v>
      </c>
      <c r="D286" s="2" t="s">
        <v>17</v>
      </c>
      <c r="E286" s="3">
        <v>45050</v>
      </c>
      <c r="F286" s="3">
        <v>45059</v>
      </c>
      <c r="G286" s="4">
        <v>825</v>
      </c>
      <c r="H286" s="4">
        <v>9</v>
      </c>
      <c r="I286" s="2" t="s">
        <v>30</v>
      </c>
      <c r="J286" s="2" t="s">
        <v>57</v>
      </c>
      <c r="K286" s="4">
        <v>3</v>
      </c>
      <c r="L286" s="4">
        <v>422.38</v>
      </c>
      <c r="M286" s="4">
        <v>1267.1400000000001</v>
      </c>
      <c r="N286" s="2" t="s">
        <v>26</v>
      </c>
    </row>
    <row r="287" spans="1:14" ht="15" x14ac:dyDescent="0.25">
      <c r="A287" s="2" t="s">
        <v>333</v>
      </c>
      <c r="B287" s="2" t="s">
        <v>45</v>
      </c>
      <c r="C287" s="2" t="s">
        <v>34</v>
      </c>
      <c r="D287" s="2" t="s">
        <v>47</v>
      </c>
      <c r="E287" s="3">
        <v>45134</v>
      </c>
      <c r="F287" s="3">
        <v>45143</v>
      </c>
      <c r="G287" s="4">
        <v>727</v>
      </c>
      <c r="H287" s="4">
        <v>9</v>
      </c>
      <c r="I287" s="2" t="s">
        <v>30</v>
      </c>
      <c r="J287" s="2" t="s">
        <v>25</v>
      </c>
      <c r="K287" s="4">
        <v>4</v>
      </c>
      <c r="L287" s="4">
        <v>363.74</v>
      </c>
      <c r="M287" s="4">
        <v>1454.96</v>
      </c>
      <c r="N287" s="2" t="s">
        <v>43</v>
      </c>
    </row>
    <row r="288" spans="1:14" ht="15" x14ac:dyDescent="0.25">
      <c r="A288" s="2" t="s">
        <v>334</v>
      </c>
      <c r="B288" s="2" t="s">
        <v>33</v>
      </c>
      <c r="C288" s="2" t="s">
        <v>29</v>
      </c>
      <c r="D288" s="2" t="s">
        <v>54</v>
      </c>
      <c r="E288" s="3">
        <v>45250</v>
      </c>
      <c r="F288" s="3">
        <v>45258</v>
      </c>
      <c r="G288" s="4">
        <v>703</v>
      </c>
      <c r="H288" s="4">
        <v>8</v>
      </c>
      <c r="I288" s="2" t="s">
        <v>55</v>
      </c>
      <c r="J288" s="2" t="s">
        <v>57</v>
      </c>
      <c r="K288" s="4">
        <v>3</v>
      </c>
      <c r="L288" s="4">
        <v>371.45</v>
      </c>
      <c r="M288" s="4">
        <v>1114.3499999999999</v>
      </c>
      <c r="N288" s="2" t="s">
        <v>20</v>
      </c>
    </row>
    <row r="289" spans="1:14" ht="15" x14ac:dyDescent="0.25">
      <c r="A289" s="2" t="s">
        <v>335</v>
      </c>
      <c r="B289" s="2" t="s">
        <v>45</v>
      </c>
      <c r="C289" s="2" t="s">
        <v>34</v>
      </c>
      <c r="D289" s="2" t="s">
        <v>23</v>
      </c>
      <c r="E289" s="3">
        <v>45130</v>
      </c>
      <c r="F289" s="3">
        <v>45139</v>
      </c>
      <c r="G289" s="4">
        <v>881</v>
      </c>
      <c r="H289" s="4">
        <v>9</v>
      </c>
      <c r="I289" s="2" t="s">
        <v>55</v>
      </c>
      <c r="J289" s="2" t="s">
        <v>39</v>
      </c>
      <c r="K289" s="4">
        <v>1</v>
      </c>
      <c r="L289" s="4">
        <v>257.77</v>
      </c>
      <c r="M289" s="4">
        <v>257.77</v>
      </c>
      <c r="N289" s="2" t="s">
        <v>31</v>
      </c>
    </row>
    <row r="290" spans="1:14" ht="15" x14ac:dyDescent="0.25">
      <c r="A290" s="2" t="s">
        <v>336</v>
      </c>
      <c r="B290" s="2" t="s">
        <v>45</v>
      </c>
      <c r="C290" s="2" t="s">
        <v>46</v>
      </c>
      <c r="D290" s="2" t="s">
        <v>35</v>
      </c>
      <c r="E290" s="3">
        <v>45190</v>
      </c>
      <c r="F290" s="3">
        <v>45198</v>
      </c>
      <c r="G290" s="4">
        <v>480</v>
      </c>
      <c r="H290" s="4">
        <v>8</v>
      </c>
      <c r="I290" s="2" t="s">
        <v>42</v>
      </c>
      <c r="J290" s="2" t="s">
        <v>19</v>
      </c>
      <c r="K290" s="4">
        <v>1</v>
      </c>
      <c r="L290" s="4">
        <v>464.45</v>
      </c>
      <c r="M290" s="4">
        <v>464.45</v>
      </c>
      <c r="N290" s="2" t="s">
        <v>43</v>
      </c>
    </row>
    <row r="291" spans="1:14" ht="15" x14ac:dyDescent="0.25">
      <c r="A291" s="2" t="s">
        <v>337</v>
      </c>
      <c r="B291" s="2" t="s">
        <v>33</v>
      </c>
      <c r="C291" s="2" t="s">
        <v>34</v>
      </c>
      <c r="D291" s="2" t="s">
        <v>23</v>
      </c>
      <c r="E291" s="3">
        <v>45220</v>
      </c>
      <c r="F291" s="3">
        <v>45228</v>
      </c>
      <c r="G291" s="4">
        <v>779</v>
      </c>
      <c r="H291" s="4">
        <v>8</v>
      </c>
      <c r="I291" s="2" t="s">
        <v>63</v>
      </c>
      <c r="J291" s="2" t="s">
        <v>39</v>
      </c>
      <c r="K291" s="4">
        <v>3</v>
      </c>
      <c r="L291" s="4">
        <v>362.57</v>
      </c>
      <c r="M291" s="4">
        <v>1087.71</v>
      </c>
      <c r="N291" s="2" t="s">
        <v>31</v>
      </c>
    </row>
    <row r="292" spans="1:14" ht="15" x14ac:dyDescent="0.25">
      <c r="A292" s="2" t="s">
        <v>338</v>
      </c>
      <c r="B292" s="2" t="s">
        <v>75</v>
      </c>
      <c r="C292" s="2" t="s">
        <v>46</v>
      </c>
      <c r="D292" s="2" t="s">
        <v>17</v>
      </c>
      <c r="E292" s="3">
        <v>45287</v>
      </c>
      <c r="F292" s="3">
        <v>45288</v>
      </c>
      <c r="G292" s="4">
        <v>157</v>
      </c>
      <c r="H292" s="4">
        <v>1</v>
      </c>
      <c r="I292" s="2" t="s">
        <v>18</v>
      </c>
      <c r="J292" s="2" t="s">
        <v>25</v>
      </c>
      <c r="K292" s="4">
        <v>4</v>
      </c>
      <c r="L292" s="4">
        <v>378.04</v>
      </c>
      <c r="M292" s="4">
        <v>1512.16</v>
      </c>
      <c r="N292" s="2" t="s">
        <v>20</v>
      </c>
    </row>
    <row r="293" spans="1:14" ht="15" x14ac:dyDescent="0.25">
      <c r="A293" s="2" t="s">
        <v>339</v>
      </c>
      <c r="B293" s="2" t="s">
        <v>45</v>
      </c>
      <c r="C293" s="2" t="s">
        <v>61</v>
      </c>
      <c r="D293" s="2" t="s">
        <v>23</v>
      </c>
      <c r="E293" s="3">
        <v>45147</v>
      </c>
      <c r="F293" s="3">
        <v>45152</v>
      </c>
      <c r="G293" s="4">
        <v>895</v>
      </c>
      <c r="H293" s="4">
        <v>5</v>
      </c>
      <c r="I293" s="2" t="s">
        <v>24</v>
      </c>
      <c r="J293" s="2" t="s">
        <v>25</v>
      </c>
      <c r="K293" s="4">
        <v>2</v>
      </c>
      <c r="L293" s="4">
        <v>437.76</v>
      </c>
      <c r="M293" s="4">
        <v>875.52</v>
      </c>
      <c r="N293" s="2" t="s">
        <v>20</v>
      </c>
    </row>
    <row r="294" spans="1:14" ht="15" x14ac:dyDescent="0.25">
      <c r="A294" s="2" t="s">
        <v>340</v>
      </c>
      <c r="B294" s="2" t="s">
        <v>22</v>
      </c>
      <c r="C294" s="2" t="s">
        <v>29</v>
      </c>
      <c r="D294" s="2" t="s">
        <v>17</v>
      </c>
      <c r="E294" s="3">
        <v>45221</v>
      </c>
      <c r="F294" s="3">
        <v>45225</v>
      </c>
      <c r="G294" s="4">
        <v>125</v>
      </c>
      <c r="H294" s="4">
        <v>4</v>
      </c>
      <c r="I294" s="2" t="s">
        <v>18</v>
      </c>
      <c r="J294" s="2" t="s">
        <v>25</v>
      </c>
      <c r="K294" s="4">
        <v>4</v>
      </c>
      <c r="L294" s="4">
        <v>173.33</v>
      </c>
      <c r="M294" s="4">
        <v>693.32</v>
      </c>
      <c r="N294" s="2" t="s">
        <v>20</v>
      </c>
    </row>
    <row r="295" spans="1:14" ht="15" x14ac:dyDescent="0.25">
      <c r="A295" s="2" t="s">
        <v>341</v>
      </c>
      <c r="B295" s="2" t="s">
        <v>53</v>
      </c>
      <c r="C295" s="2" t="s">
        <v>16</v>
      </c>
      <c r="D295" s="2" t="s">
        <v>35</v>
      </c>
      <c r="E295" s="3">
        <v>45278</v>
      </c>
      <c r="F295" s="3">
        <v>45280</v>
      </c>
      <c r="G295" s="4">
        <v>980</v>
      </c>
      <c r="H295" s="4">
        <v>2</v>
      </c>
      <c r="I295" s="2" t="s">
        <v>51</v>
      </c>
      <c r="J295" s="2" t="s">
        <v>19</v>
      </c>
      <c r="K295" s="4">
        <v>2</v>
      </c>
      <c r="L295" s="4">
        <v>413.18</v>
      </c>
      <c r="M295" s="4">
        <v>826.36</v>
      </c>
      <c r="N295" s="2" t="s">
        <v>31</v>
      </c>
    </row>
    <row r="296" spans="1:14" ht="15" x14ac:dyDescent="0.25">
      <c r="A296" s="2" t="s">
        <v>342</v>
      </c>
      <c r="B296" s="2" t="s">
        <v>15</v>
      </c>
      <c r="C296" s="2" t="s">
        <v>34</v>
      </c>
      <c r="D296" s="2" t="s">
        <v>54</v>
      </c>
      <c r="E296" s="3">
        <v>45271</v>
      </c>
      <c r="F296" s="3">
        <v>45279</v>
      </c>
      <c r="G296" s="4">
        <v>546</v>
      </c>
      <c r="H296" s="4">
        <v>8</v>
      </c>
      <c r="I296" s="2" t="s">
        <v>55</v>
      </c>
      <c r="J296" s="2" t="s">
        <v>49</v>
      </c>
      <c r="K296" s="4">
        <v>1</v>
      </c>
      <c r="L296" s="4">
        <v>137.86000000000001</v>
      </c>
      <c r="M296" s="4">
        <v>137.86000000000001</v>
      </c>
      <c r="N296" s="2" t="s">
        <v>43</v>
      </c>
    </row>
    <row r="297" spans="1:14" ht="15" x14ac:dyDescent="0.25">
      <c r="A297" s="2" t="s">
        <v>343</v>
      </c>
      <c r="B297" s="2" t="s">
        <v>15</v>
      </c>
      <c r="C297" s="2" t="s">
        <v>61</v>
      </c>
      <c r="D297" s="2" t="s">
        <v>23</v>
      </c>
      <c r="E297" s="3">
        <v>44978</v>
      </c>
      <c r="F297" s="3">
        <v>44981</v>
      </c>
      <c r="G297" s="4">
        <v>165</v>
      </c>
      <c r="H297" s="4">
        <v>3</v>
      </c>
      <c r="I297" s="2" t="s">
        <v>42</v>
      </c>
      <c r="J297" s="2" t="s">
        <v>19</v>
      </c>
      <c r="K297" s="4">
        <v>4</v>
      </c>
      <c r="L297" s="4">
        <v>205.4</v>
      </c>
      <c r="M297" s="4">
        <v>821.6</v>
      </c>
      <c r="N297" s="2" t="s">
        <v>43</v>
      </c>
    </row>
    <row r="298" spans="1:14" ht="15" x14ac:dyDescent="0.25">
      <c r="A298" s="2" t="s">
        <v>344</v>
      </c>
      <c r="B298" s="2" t="s">
        <v>75</v>
      </c>
      <c r="C298" s="2" t="s">
        <v>16</v>
      </c>
      <c r="D298" s="2" t="s">
        <v>47</v>
      </c>
      <c r="E298" s="3">
        <v>45075</v>
      </c>
      <c r="F298" s="3">
        <v>45079</v>
      </c>
      <c r="G298" s="4">
        <v>859</v>
      </c>
      <c r="H298" s="4">
        <v>4</v>
      </c>
      <c r="I298" s="2" t="s">
        <v>42</v>
      </c>
      <c r="J298" s="2" t="s">
        <v>19</v>
      </c>
      <c r="K298" s="4">
        <v>2</v>
      </c>
      <c r="L298" s="4">
        <v>201.02</v>
      </c>
      <c r="M298" s="4">
        <v>402.04</v>
      </c>
      <c r="N298" s="2" t="s">
        <v>43</v>
      </c>
    </row>
    <row r="299" spans="1:14" ht="15" x14ac:dyDescent="0.25">
      <c r="A299" s="2" t="s">
        <v>345</v>
      </c>
      <c r="B299" s="2" t="s">
        <v>28</v>
      </c>
      <c r="C299" s="2" t="s">
        <v>34</v>
      </c>
      <c r="D299" s="2" t="s">
        <v>23</v>
      </c>
      <c r="E299" s="3">
        <v>45045</v>
      </c>
      <c r="F299" s="3">
        <v>45052</v>
      </c>
      <c r="G299" s="4">
        <v>353</v>
      </c>
      <c r="H299" s="4">
        <v>7</v>
      </c>
      <c r="I299" s="2" t="s">
        <v>30</v>
      </c>
      <c r="J299" s="2" t="s">
        <v>49</v>
      </c>
      <c r="K299" s="4">
        <v>3</v>
      </c>
      <c r="L299" s="4">
        <v>490.34</v>
      </c>
      <c r="M299" s="4">
        <v>1471.02</v>
      </c>
      <c r="N299" s="2" t="s">
        <v>43</v>
      </c>
    </row>
    <row r="300" spans="1:14" ht="15" x14ac:dyDescent="0.25">
      <c r="A300" s="2" t="s">
        <v>346</v>
      </c>
      <c r="B300" s="2" t="s">
        <v>33</v>
      </c>
      <c r="C300" s="2" t="s">
        <v>34</v>
      </c>
      <c r="D300" s="2" t="s">
        <v>47</v>
      </c>
      <c r="E300" s="3">
        <v>44958</v>
      </c>
      <c r="F300" s="3">
        <v>44967</v>
      </c>
      <c r="G300" s="4">
        <v>998</v>
      </c>
      <c r="H300" s="4">
        <v>9</v>
      </c>
      <c r="I300" s="2" t="s">
        <v>42</v>
      </c>
      <c r="J300" s="2" t="s">
        <v>49</v>
      </c>
      <c r="K300" s="4">
        <v>1</v>
      </c>
      <c r="L300" s="4">
        <v>435.44</v>
      </c>
      <c r="M300" s="4">
        <v>435.44</v>
      </c>
      <c r="N300" s="2" t="s">
        <v>26</v>
      </c>
    </row>
    <row r="301" spans="1:14" ht="15" x14ac:dyDescent="0.25">
      <c r="A301" s="2" t="s">
        <v>347</v>
      </c>
      <c r="B301" s="2" t="s">
        <v>28</v>
      </c>
      <c r="C301" s="2" t="s">
        <v>76</v>
      </c>
      <c r="D301" s="2" t="s">
        <v>47</v>
      </c>
      <c r="E301" s="3">
        <v>45158</v>
      </c>
      <c r="F301" s="3">
        <v>45160</v>
      </c>
      <c r="G301" s="4">
        <v>143</v>
      </c>
      <c r="H301" s="4">
        <v>2</v>
      </c>
      <c r="I301" s="2" t="s">
        <v>55</v>
      </c>
      <c r="J301" s="2" t="s">
        <v>57</v>
      </c>
      <c r="K301" s="4">
        <v>3</v>
      </c>
      <c r="L301" s="4">
        <v>365.53</v>
      </c>
      <c r="M301" s="4">
        <v>1096.5899999999999</v>
      </c>
      <c r="N301" s="2" t="s">
        <v>31</v>
      </c>
    </row>
    <row r="302" spans="1:14" ht="15" x14ac:dyDescent="0.25">
      <c r="A302" s="2" t="s">
        <v>348</v>
      </c>
      <c r="B302" s="2" t="s">
        <v>15</v>
      </c>
      <c r="C302" s="2" t="s">
        <v>46</v>
      </c>
      <c r="D302" s="2" t="s">
        <v>17</v>
      </c>
      <c r="E302" s="3">
        <v>45195</v>
      </c>
      <c r="F302" s="3">
        <v>45198</v>
      </c>
      <c r="G302" s="4">
        <v>196</v>
      </c>
      <c r="H302" s="4">
        <v>3</v>
      </c>
      <c r="I302" s="2" t="s">
        <v>42</v>
      </c>
      <c r="J302" s="2" t="s">
        <v>39</v>
      </c>
      <c r="K302" s="4">
        <v>1</v>
      </c>
      <c r="L302" s="4">
        <v>377.18</v>
      </c>
      <c r="M302" s="4">
        <v>377.18</v>
      </c>
      <c r="N302" s="2" t="s">
        <v>26</v>
      </c>
    </row>
    <row r="303" spans="1:14" ht="15" x14ac:dyDescent="0.25">
      <c r="A303" s="2" t="s">
        <v>349</v>
      </c>
      <c r="B303" s="2" t="s">
        <v>45</v>
      </c>
      <c r="C303" s="2" t="s">
        <v>34</v>
      </c>
      <c r="D303" s="2" t="s">
        <v>23</v>
      </c>
      <c r="E303" s="3">
        <v>45236</v>
      </c>
      <c r="F303" s="3">
        <v>45240</v>
      </c>
      <c r="G303" s="4">
        <v>653</v>
      </c>
      <c r="H303" s="4">
        <v>4</v>
      </c>
      <c r="I303" s="2" t="s">
        <v>42</v>
      </c>
      <c r="J303" s="2" t="s">
        <v>25</v>
      </c>
      <c r="K303" s="4">
        <v>4</v>
      </c>
      <c r="L303" s="4">
        <v>302.93</v>
      </c>
      <c r="M303" s="4">
        <v>1211.72</v>
      </c>
      <c r="N303" s="2" t="s">
        <v>26</v>
      </c>
    </row>
    <row r="304" spans="1:14" ht="15" x14ac:dyDescent="0.25">
      <c r="A304" s="2" t="s">
        <v>350</v>
      </c>
      <c r="B304" s="2" t="s">
        <v>53</v>
      </c>
      <c r="C304" s="2" t="s">
        <v>61</v>
      </c>
      <c r="D304" s="2" t="s">
        <v>17</v>
      </c>
      <c r="E304" s="3">
        <v>44971</v>
      </c>
      <c r="F304" s="3">
        <v>44972</v>
      </c>
      <c r="G304" s="4">
        <v>326</v>
      </c>
      <c r="H304" s="4">
        <v>1</v>
      </c>
      <c r="I304" s="2" t="s">
        <v>51</v>
      </c>
      <c r="J304" s="2" t="s">
        <v>25</v>
      </c>
      <c r="K304" s="4">
        <v>4</v>
      </c>
      <c r="L304" s="4">
        <v>476.19</v>
      </c>
      <c r="M304" s="4">
        <v>1904.76</v>
      </c>
      <c r="N304" s="2" t="s">
        <v>26</v>
      </c>
    </row>
    <row r="305" spans="1:14" ht="15" x14ac:dyDescent="0.25">
      <c r="A305" s="2" t="s">
        <v>351</v>
      </c>
      <c r="B305" s="2" t="s">
        <v>28</v>
      </c>
      <c r="C305" s="2" t="s">
        <v>76</v>
      </c>
      <c r="D305" s="2" t="s">
        <v>35</v>
      </c>
      <c r="E305" s="3">
        <v>45246</v>
      </c>
      <c r="F305" s="3">
        <v>45253</v>
      </c>
      <c r="G305" s="4">
        <v>873</v>
      </c>
      <c r="H305" s="4">
        <v>7</v>
      </c>
      <c r="I305" s="2" t="s">
        <v>18</v>
      </c>
      <c r="J305" s="2" t="s">
        <v>19</v>
      </c>
      <c r="K305" s="4">
        <v>1</v>
      </c>
      <c r="L305" s="4">
        <v>273.32</v>
      </c>
      <c r="M305" s="4">
        <v>273.32</v>
      </c>
      <c r="N305" s="2" t="s">
        <v>31</v>
      </c>
    </row>
    <row r="306" spans="1:14" ht="15" x14ac:dyDescent="0.25">
      <c r="A306" s="2" t="s">
        <v>352</v>
      </c>
      <c r="B306" s="2" t="s">
        <v>22</v>
      </c>
      <c r="C306" s="2" t="s">
        <v>76</v>
      </c>
      <c r="D306" s="2" t="s">
        <v>47</v>
      </c>
      <c r="E306" s="3">
        <v>45161</v>
      </c>
      <c r="F306" s="3">
        <v>45163</v>
      </c>
      <c r="G306" s="4">
        <v>778</v>
      </c>
      <c r="H306" s="4">
        <v>2</v>
      </c>
      <c r="I306" s="2" t="s">
        <v>42</v>
      </c>
      <c r="J306" s="2" t="s">
        <v>25</v>
      </c>
      <c r="K306" s="4">
        <v>1</v>
      </c>
      <c r="L306" s="4">
        <v>221.23</v>
      </c>
      <c r="M306" s="4">
        <v>221.23</v>
      </c>
      <c r="N306" s="2" t="s">
        <v>43</v>
      </c>
    </row>
    <row r="307" spans="1:14" ht="15" x14ac:dyDescent="0.25">
      <c r="A307" s="2" t="s">
        <v>353</v>
      </c>
      <c r="B307" s="2" t="s">
        <v>41</v>
      </c>
      <c r="C307" s="2" t="s">
        <v>46</v>
      </c>
      <c r="D307" s="2" t="s">
        <v>35</v>
      </c>
      <c r="E307" s="3">
        <v>45183</v>
      </c>
      <c r="F307" s="3">
        <v>45188</v>
      </c>
      <c r="G307" s="4">
        <v>535</v>
      </c>
      <c r="H307" s="4">
        <v>5</v>
      </c>
      <c r="I307" s="2" t="s">
        <v>55</v>
      </c>
      <c r="J307" s="2" t="s">
        <v>19</v>
      </c>
      <c r="K307" s="4">
        <v>1</v>
      </c>
      <c r="L307" s="4">
        <v>123.37</v>
      </c>
      <c r="M307" s="4">
        <v>123.37</v>
      </c>
      <c r="N307" s="2" t="s">
        <v>43</v>
      </c>
    </row>
    <row r="308" spans="1:14" ht="15" x14ac:dyDescent="0.25">
      <c r="A308" s="2" t="s">
        <v>354</v>
      </c>
      <c r="B308" s="2" t="s">
        <v>22</v>
      </c>
      <c r="C308" s="2" t="s">
        <v>29</v>
      </c>
      <c r="D308" s="2" t="s">
        <v>23</v>
      </c>
      <c r="E308" s="3">
        <v>45259</v>
      </c>
      <c r="F308" s="3">
        <v>45260</v>
      </c>
      <c r="G308" s="4">
        <v>890</v>
      </c>
      <c r="H308" s="4">
        <v>1</v>
      </c>
      <c r="I308" s="2" t="s">
        <v>18</v>
      </c>
      <c r="J308" s="2" t="s">
        <v>39</v>
      </c>
      <c r="K308" s="4">
        <v>4</v>
      </c>
      <c r="L308" s="4">
        <v>403.79</v>
      </c>
      <c r="M308" s="4">
        <v>1615.16</v>
      </c>
      <c r="N308" s="2" t="s">
        <v>26</v>
      </c>
    </row>
    <row r="309" spans="1:14" ht="15" x14ac:dyDescent="0.25">
      <c r="A309" s="2" t="s">
        <v>355</v>
      </c>
      <c r="B309" s="2" t="s">
        <v>15</v>
      </c>
      <c r="C309" s="2" t="s">
        <v>46</v>
      </c>
      <c r="D309" s="2" t="s">
        <v>17</v>
      </c>
      <c r="E309" s="3">
        <v>45155</v>
      </c>
      <c r="F309" s="3">
        <v>45158</v>
      </c>
      <c r="G309" s="4">
        <v>700</v>
      </c>
      <c r="H309" s="4">
        <v>3</v>
      </c>
      <c r="I309" s="2" t="s">
        <v>63</v>
      </c>
      <c r="J309" s="2" t="s">
        <v>39</v>
      </c>
      <c r="K309" s="4">
        <v>2</v>
      </c>
      <c r="L309" s="4">
        <v>380.5</v>
      </c>
      <c r="M309" s="4">
        <v>761</v>
      </c>
      <c r="N309" s="2" t="s">
        <v>20</v>
      </c>
    </row>
    <row r="310" spans="1:14" ht="15" x14ac:dyDescent="0.25">
      <c r="A310" s="2" t="s">
        <v>356</v>
      </c>
      <c r="B310" s="2" t="s">
        <v>22</v>
      </c>
      <c r="C310" s="2" t="s">
        <v>16</v>
      </c>
      <c r="D310" s="2" t="s">
        <v>47</v>
      </c>
      <c r="E310" s="3">
        <v>45049</v>
      </c>
      <c r="F310" s="3">
        <v>45051</v>
      </c>
      <c r="G310" s="4">
        <v>478</v>
      </c>
      <c r="H310" s="4">
        <v>2</v>
      </c>
      <c r="I310" s="2" t="s">
        <v>42</v>
      </c>
      <c r="J310" s="2" t="s">
        <v>39</v>
      </c>
      <c r="K310" s="4">
        <v>3</v>
      </c>
      <c r="L310" s="4">
        <v>222.96</v>
      </c>
      <c r="M310" s="4">
        <v>668.88</v>
      </c>
      <c r="N310" s="2" t="s">
        <v>20</v>
      </c>
    </row>
    <row r="311" spans="1:14" ht="15" x14ac:dyDescent="0.25">
      <c r="A311" s="2" t="s">
        <v>357</v>
      </c>
      <c r="B311" s="2" t="s">
        <v>53</v>
      </c>
      <c r="C311" s="2" t="s">
        <v>16</v>
      </c>
      <c r="D311" s="2" t="s">
        <v>54</v>
      </c>
      <c r="E311" s="3">
        <v>45228</v>
      </c>
      <c r="F311" s="3">
        <v>45229</v>
      </c>
      <c r="G311" s="4">
        <v>277</v>
      </c>
      <c r="H311" s="4">
        <v>1</v>
      </c>
      <c r="I311" s="2" t="s">
        <v>24</v>
      </c>
      <c r="J311" s="2" t="s">
        <v>49</v>
      </c>
      <c r="K311" s="4">
        <v>3</v>
      </c>
      <c r="L311" s="4">
        <v>61.34</v>
      </c>
      <c r="M311" s="4">
        <v>184.02</v>
      </c>
      <c r="N311" s="2" t="s">
        <v>31</v>
      </c>
    </row>
    <row r="312" spans="1:14" ht="15" x14ac:dyDescent="0.25">
      <c r="A312" s="2" t="s">
        <v>358</v>
      </c>
      <c r="B312" s="2" t="s">
        <v>75</v>
      </c>
      <c r="C312" s="2" t="s">
        <v>16</v>
      </c>
      <c r="D312" s="2" t="s">
        <v>35</v>
      </c>
      <c r="E312" s="3">
        <v>45059</v>
      </c>
      <c r="F312" s="3">
        <v>45066</v>
      </c>
      <c r="G312" s="4">
        <v>526</v>
      </c>
      <c r="H312" s="4">
        <v>7</v>
      </c>
      <c r="I312" s="2" t="s">
        <v>30</v>
      </c>
      <c r="J312" s="2" t="s">
        <v>39</v>
      </c>
      <c r="K312" s="4">
        <v>4</v>
      </c>
      <c r="L312" s="4">
        <v>427.55</v>
      </c>
      <c r="M312" s="4">
        <v>1710.2</v>
      </c>
      <c r="N312" s="2" t="s">
        <v>31</v>
      </c>
    </row>
    <row r="313" spans="1:14" ht="15" x14ac:dyDescent="0.25">
      <c r="A313" s="2" t="s">
        <v>359</v>
      </c>
      <c r="B313" s="2" t="s">
        <v>15</v>
      </c>
      <c r="C313" s="2" t="s">
        <v>34</v>
      </c>
      <c r="D313" s="2" t="s">
        <v>54</v>
      </c>
      <c r="E313" s="3">
        <v>44939</v>
      </c>
      <c r="F313" s="3">
        <v>44944</v>
      </c>
      <c r="G313" s="4">
        <v>808</v>
      </c>
      <c r="H313" s="4">
        <v>5</v>
      </c>
      <c r="I313" s="2" t="s">
        <v>51</v>
      </c>
      <c r="J313" s="2" t="s">
        <v>25</v>
      </c>
      <c r="K313" s="4">
        <v>3</v>
      </c>
      <c r="L313" s="4">
        <v>55.14</v>
      </c>
      <c r="M313" s="4">
        <v>165.42</v>
      </c>
      <c r="N313" s="2" t="s">
        <v>26</v>
      </c>
    </row>
    <row r="314" spans="1:14" ht="15" x14ac:dyDescent="0.25">
      <c r="A314" s="2" t="s">
        <v>360</v>
      </c>
      <c r="B314" s="2" t="s">
        <v>45</v>
      </c>
      <c r="C314" s="2" t="s">
        <v>61</v>
      </c>
      <c r="D314" s="2" t="s">
        <v>35</v>
      </c>
      <c r="E314" s="3">
        <v>45230</v>
      </c>
      <c r="F314" s="3">
        <v>45231</v>
      </c>
      <c r="G314" s="4">
        <v>406</v>
      </c>
      <c r="H314" s="4">
        <v>1</v>
      </c>
      <c r="I314" s="2" t="s">
        <v>51</v>
      </c>
      <c r="J314" s="2" t="s">
        <v>25</v>
      </c>
      <c r="K314" s="4">
        <v>1</v>
      </c>
      <c r="L314" s="4">
        <v>366.66</v>
      </c>
      <c r="M314" s="4">
        <v>366.66</v>
      </c>
      <c r="N314" s="2" t="s">
        <v>20</v>
      </c>
    </row>
    <row r="315" spans="1:14" ht="15" x14ac:dyDescent="0.25">
      <c r="A315" s="2" t="s">
        <v>361</v>
      </c>
      <c r="B315" s="2" t="s">
        <v>53</v>
      </c>
      <c r="C315" s="2" t="s">
        <v>34</v>
      </c>
      <c r="D315" s="2" t="s">
        <v>23</v>
      </c>
      <c r="E315" s="3">
        <v>45052</v>
      </c>
      <c r="F315" s="3">
        <v>45058</v>
      </c>
      <c r="G315" s="4">
        <v>878</v>
      </c>
      <c r="H315" s="4">
        <v>6</v>
      </c>
      <c r="I315" s="2" t="s">
        <v>42</v>
      </c>
      <c r="J315" s="2" t="s">
        <v>57</v>
      </c>
      <c r="K315" s="4">
        <v>2</v>
      </c>
      <c r="L315" s="4">
        <v>486.62</v>
      </c>
      <c r="M315" s="4">
        <v>973.24</v>
      </c>
      <c r="N315" s="2" t="s">
        <v>26</v>
      </c>
    </row>
    <row r="316" spans="1:14" ht="15" x14ac:dyDescent="0.25">
      <c r="A316" s="2" t="s">
        <v>362</v>
      </c>
      <c r="B316" s="2" t="s">
        <v>45</v>
      </c>
      <c r="C316" s="2" t="s">
        <v>37</v>
      </c>
      <c r="D316" s="2" t="s">
        <v>35</v>
      </c>
      <c r="E316" s="3">
        <v>45209</v>
      </c>
      <c r="F316" s="3">
        <v>45214</v>
      </c>
      <c r="G316" s="4">
        <v>603</v>
      </c>
      <c r="H316" s="4">
        <v>5</v>
      </c>
      <c r="I316" s="2" t="s">
        <v>63</v>
      </c>
      <c r="J316" s="2" t="s">
        <v>57</v>
      </c>
      <c r="K316" s="4">
        <v>3</v>
      </c>
      <c r="L316" s="4">
        <v>246.95</v>
      </c>
      <c r="M316" s="4">
        <v>740.85</v>
      </c>
      <c r="N316" s="2" t="s">
        <v>26</v>
      </c>
    </row>
    <row r="317" spans="1:14" ht="15" x14ac:dyDescent="0.25">
      <c r="A317" s="2" t="s">
        <v>363</v>
      </c>
      <c r="B317" s="2" t="s">
        <v>75</v>
      </c>
      <c r="C317" s="2" t="s">
        <v>76</v>
      </c>
      <c r="D317" s="2" t="s">
        <v>17</v>
      </c>
      <c r="E317" s="3">
        <v>45059</v>
      </c>
      <c r="F317" s="3">
        <v>45062</v>
      </c>
      <c r="G317" s="4">
        <v>367</v>
      </c>
      <c r="H317" s="4">
        <v>3</v>
      </c>
      <c r="I317" s="2" t="s">
        <v>55</v>
      </c>
      <c r="J317" s="2" t="s">
        <v>57</v>
      </c>
      <c r="K317" s="4">
        <v>2</v>
      </c>
      <c r="L317" s="4">
        <v>155.74</v>
      </c>
      <c r="M317" s="4">
        <v>311.48</v>
      </c>
      <c r="N317" s="2" t="s">
        <v>20</v>
      </c>
    </row>
    <row r="318" spans="1:14" ht="15" x14ac:dyDescent="0.25">
      <c r="A318" s="2" t="s">
        <v>364</v>
      </c>
      <c r="B318" s="2" t="s">
        <v>22</v>
      </c>
      <c r="C318" s="2" t="s">
        <v>46</v>
      </c>
      <c r="D318" s="2" t="s">
        <v>23</v>
      </c>
      <c r="E318" s="3">
        <v>45241</v>
      </c>
      <c r="F318" s="3">
        <v>45248</v>
      </c>
      <c r="G318" s="4">
        <v>685</v>
      </c>
      <c r="H318" s="4">
        <v>7</v>
      </c>
      <c r="I318" s="2" t="s">
        <v>30</v>
      </c>
      <c r="J318" s="2" t="s">
        <v>39</v>
      </c>
      <c r="K318" s="4">
        <v>1</v>
      </c>
      <c r="L318" s="4">
        <v>367.19</v>
      </c>
      <c r="M318" s="4">
        <v>367.19</v>
      </c>
      <c r="N318" s="2" t="s">
        <v>26</v>
      </c>
    </row>
    <row r="319" spans="1:14" ht="15" x14ac:dyDescent="0.25">
      <c r="A319" s="2" t="s">
        <v>365</v>
      </c>
      <c r="B319" s="2" t="s">
        <v>33</v>
      </c>
      <c r="C319" s="2" t="s">
        <v>34</v>
      </c>
      <c r="D319" s="2" t="s">
        <v>54</v>
      </c>
      <c r="E319" s="3">
        <v>45007</v>
      </c>
      <c r="F319" s="3">
        <v>45016</v>
      </c>
      <c r="G319" s="4">
        <v>107</v>
      </c>
      <c r="H319" s="4">
        <v>9</v>
      </c>
      <c r="I319" s="2" t="s">
        <v>42</v>
      </c>
      <c r="J319" s="2" t="s">
        <v>49</v>
      </c>
      <c r="K319" s="4">
        <v>3</v>
      </c>
      <c r="L319" s="4">
        <v>417.71</v>
      </c>
      <c r="M319" s="4">
        <v>1253.1300000000001</v>
      </c>
      <c r="N319" s="2" t="s">
        <v>43</v>
      </c>
    </row>
    <row r="320" spans="1:14" ht="15" x14ac:dyDescent="0.25">
      <c r="A320" s="2" t="s">
        <v>366</v>
      </c>
      <c r="B320" s="2" t="s">
        <v>28</v>
      </c>
      <c r="C320" s="2" t="s">
        <v>34</v>
      </c>
      <c r="D320" s="2" t="s">
        <v>17</v>
      </c>
      <c r="E320" s="3">
        <v>45282</v>
      </c>
      <c r="F320" s="3">
        <v>45291</v>
      </c>
      <c r="G320" s="4">
        <v>607</v>
      </c>
      <c r="H320" s="4">
        <v>9</v>
      </c>
      <c r="I320" s="2" t="s">
        <v>63</v>
      </c>
      <c r="J320" s="2" t="s">
        <v>39</v>
      </c>
      <c r="K320" s="4">
        <v>4</v>
      </c>
      <c r="L320" s="4">
        <v>295.89</v>
      </c>
      <c r="M320" s="4">
        <v>1183.56</v>
      </c>
      <c r="N320" s="2" t="s">
        <v>43</v>
      </c>
    </row>
    <row r="321" spans="1:14" ht="15" x14ac:dyDescent="0.25">
      <c r="A321" s="2" t="s">
        <v>367</v>
      </c>
      <c r="B321" s="2" t="s">
        <v>53</v>
      </c>
      <c r="C321" s="2" t="s">
        <v>29</v>
      </c>
      <c r="D321" s="2" t="s">
        <v>54</v>
      </c>
      <c r="E321" s="3">
        <v>45211</v>
      </c>
      <c r="F321" s="3">
        <v>45220</v>
      </c>
      <c r="G321" s="4">
        <v>575</v>
      </c>
      <c r="H321" s="4">
        <v>9</v>
      </c>
      <c r="I321" s="2" t="s">
        <v>30</v>
      </c>
      <c r="J321" s="2" t="s">
        <v>19</v>
      </c>
      <c r="K321" s="4">
        <v>2</v>
      </c>
      <c r="L321" s="4">
        <v>485.17</v>
      </c>
      <c r="M321" s="4">
        <v>970.34</v>
      </c>
      <c r="N321" s="2" t="s">
        <v>43</v>
      </c>
    </row>
    <row r="322" spans="1:14" ht="15" x14ac:dyDescent="0.25">
      <c r="A322" s="2" t="s">
        <v>368</v>
      </c>
      <c r="B322" s="2" t="s">
        <v>28</v>
      </c>
      <c r="C322" s="2" t="s">
        <v>76</v>
      </c>
      <c r="D322" s="2" t="s">
        <v>54</v>
      </c>
      <c r="E322" s="3">
        <v>44968</v>
      </c>
      <c r="F322" s="3">
        <v>44970</v>
      </c>
      <c r="G322" s="4">
        <v>396</v>
      </c>
      <c r="H322" s="4">
        <v>2</v>
      </c>
      <c r="I322" s="2" t="s">
        <v>24</v>
      </c>
      <c r="J322" s="2" t="s">
        <v>19</v>
      </c>
      <c r="K322" s="4">
        <v>1</v>
      </c>
      <c r="L322" s="4">
        <v>73.25</v>
      </c>
      <c r="M322" s="4">
        <v>73.25</v>
      </c>
      <c r="N322" s="2" t="s">
        <v>43</v>
      </c>
    </row>
    <row r="323" spans="1:14" ht="15" x14ac:dyDescent="0.25">
      <c r="A323" s="2" t="s">
        <v>369</v>
      </c>
      <c r="B323" s="2" t="s">
        <v>53</v>
      </c>
      <c r="C323" s="2" t="s">
        <v>76</v>
      </c>
      <c r="D323" s="2" t="s">
        <v>17</v>
      </c>
      <c r="E323" s="3">
        <v>45133</v>
      </c>
      <c r="F323" s="3">
        <v>45136</v>
      </c>
      <c r="G323" s="4">
        <v>263</v>
      </c>
      <c r="H323" s="4">
        <v>3</v>
      </c>
      <c r="I323" s="2" t="s">
        <v>30</v>
      </c>
      <c r="J323" s="2" t="s">
        <v>39</v>
      </c>
      <c r="K323" s="4">
        <v>2</v>
      </c>
      <c r="L323" s="4">
        <v>277.16000000000003</v>
      </c>
      <c r="M323" s="4">
        <v>554.32000000000005</v>
      </c>
      <c r="N323" s="2" t="s">
        <v>20</v>
      </c>
    </row>
    <row r="324" spans="1:14" ht="15" x14ac:dyDescent="0.25">
      <c r="A324" s="2" t="s">
        <v>370</v>
      </c>
      <c r="B324" s="2" t="s">
        <v>75</v>
      </c>
      <c r="C324" s="2" t="s">
        <v>34</v>
      </c>
      <c r="D324" s="2" t="s">
        <v>54</v>
      </c>
      <c r="E324" s="3">
        <v>45286</v>
      </c>
      <c r="F324" s="3">
        <v>45293</v>
      </c>
      <c r="G324" s="4">
        <v>584</v>
      </c>
      <c r="H324" s="4">
        <v>7</v>
      </c>
      <c r="I324" s="2" t="s">
        <v>55</v>
      </c>
      <c r="J324" s="2" t="s">
        <v>25</v>
      </c>
      <c r="K324" s="4">
        <v>3</v>
      </c>
      <c r="L324" s="4">
        <v>373.3</v>
      </c>
      <c r="M324" s="4">
        <v>1119.9000000000001</v>
      </c>
      <c r="N324" s="2" t="s">
        <v>43</v>
      </c>
    </row>
    <row r="325" spans="1:14" ht="15" x14ac:dyDescent="0.25">
      <c r="A325" s="2" t="s">
        <v>371</v>
      </c>
      <c r="B325" s="2" t="s">
        <v>22</v>
      </c>
      <c r="C325" s="2" t="s">
        <v>37</v>
      </c>
      <c r="D325" s="2" t="s">
        <v>47</v>
      </c>
      <c r="E325" s="3">
        <v>45098</v>
      </c>
      <c r="F325" s="3">
        <v>45103</v>
      </c>
      <c r="G325" s="4">
        <v>696</v>
      </c>
      <c r="H325" s="4">
        <v>5</v>
      </c>
      <c r="I325" s="2" t="s">
        <v>24</v>
      </c>
      <c r="J325" s="2" t="s">
        <v>49</v>
      </c>
      <c r="K325" s="4">
        <v>3</v>
      </c>
      <c r="L325" s="4">
        <v>438.19</v>
      </c>
      <c r="M325" s="4">
        <v>1314.57</v>
      </c>
      <c r="N325" s="2" t="s">
        <v>26</v>
      </c>
    </row>
    <row r="326" spans="1:14" ht="15" x14ac:dyDescent="0.25">
      <c r="A326" s="2" t="s">
        <v>372</v>
      </c>
      <c r="B326" s="2" t="s">
        <v>22</v>
      </c>
      <c r="C326" s="2" t="s">
        <v>29</v>
      </c>
      <c r="D326" s="2" t="s">
        <v>35</v>
      </c>
      <c r="E326" s="3">
        <v>44993</v>
      </c>
      <c r="F326" s="3">
        <v>44995</v>
      </c>
      <c r="G326" s="4">
        <v>171</v>
      </c>
      <c r="H326" s="4">
        <v>2</v>
      </c>
      <c r="I326" s="2" t="s">
        <v>42</v>
      </c>
      <c r="J326" s="2" t="s">
        <v>39</v>
      </c>
      <c r="K326" s="4">
        <v>4</v>
      </c>
      <c r="L326" s="4">
        <v>130.66999999999999</v>
      </c>
      <c r="M326" s="4">
        <v>522.67999999999995</v>
      </c>
      <c r="N326" s="2" t="s">
        <v>31</v>
      </c>
    </row>
    <row r="327" spans="1:14" ht="15" x14ac:dyDescent="0.25">
      <c r="A327" s="2" t="s">
        <v>373</v>
      </c>
      <c r="B327" s="2" t="s">
        <v>41</v>
      </c>
      <c r="C327" s="2" t="s">
        <v>61</v>
      </c>
      <c r="D327" s="2" t="s">
        <v>17</v>
      </c>
      <c r="E327" s="3">
        <v>45103</v>
      </c>
      <c r="F327" s="3">
        <v>45106</v>
      </c>
      <c r="G327" s="4">
        <v>666</v>
      </c>
      <c r="H327" s="4">
        <v>3</v>
      </c>
      <c r="I327" s="2" t="s">
        <v>18</v>
      </c>
      <c r="J327" s="2" t="s">
        <v>57</v>
      </c>
      <c r="K327" s="4">
        <v>1</v>
      </c>
      <c r="L327" s="4">
        <v>410</v>
      </c>
      <c r="M327" s="4">
        <v>410</v>
      </c>
      <c r="N327" s="2" t="s">
        <v>26</v>
      </c>
    </row>
    <row r="328" spans="1:14" ht="15" x14ac:dyDescent="0.25">
      <c r="A328" s="2" t="s">
        <v>374</v>
      </c>
      <c r="B328" s="2" t="s">
        <v>33</v>
      </c>
      <c r="C328" s="2" t="s">
        <v>76</v>
      </c>
      <c r="D328" s="2" t="s">
        <v>54</v>
      </c>
      <c r="E328" s="3">
        <v>45114</v>
      </c>
      <c r="F328" s="3">
        <v>45120</v>
      </c>
      <c r="G328" s="4">
        <v>658</v>
      </c>
      <c r="H328" s="4">
        <v>6</v>
      </c>
      <c r="I328" s="2" t="s">
        <v>18</v>
      </c>
      <c r="J328" s="2" t="s">
        <v>25</v>
      </c>
      <c r="K328" s="4">
        <v>1</v>
      </c>
      <c r="L328" s="4">
        <v>298.72000000000003</v>
      </c>
      <c r="M328" s="4">
        <v>298.72000000000003</v>
      </c>
      <c r="N328" s="2" t="s">
        <v>20</v>
      </c>
    </row>
    <row r="329" spans="1:14" ht="15" x14ac:dyDescent="0.25">
      <c r="A329" s="2" t="s">
        <v>375</v>
      </c>
      <c r="B329" s="2" t="s">
        <v>53</v>
      </c>
      <c r="C329" s="2" t="s">
        <v>46</v>
      </c>
      <c r="D329" s="2" t="s">
        <v>54</v>
      </c>
      <c r="E329" s="3">
        <v>45197</v>
      </c>
      <c r="F329" s="3">
        <v>45204</v>
      </c>
      <c r="G329" s="4">
        <v>337</v>
      </c>
      <c r="H329" s="4">
        <v>7</v>
      </c>
      <c r="I329" s="2" t="s">
        <v>18</v>
      </c>
      <c r="J329" s="2" t="s">
        <v>57</v>
      </c>
      <c r="K329" s="4">
        <v>4</v>
      </c>
      <c r="L329" s="4">
        <v>228.45</v>
      </c>
      <c r="M329" s="4">
        <v>913.8</v>
      </c>
      <c r="N329" s="2" t="s">
        <v>20</v>
      </c>
    </row>
    <row r="330" spans="1:14" ht="15" x14ac:dyDescent="0.25">
      <c r="A330" s="2" t="s">
        <v>376</v>
      </c>
      <c r="B330" s="2" t="s">
        <v>22</v>
      </c>
      <c r="C330" s="2" t="s">
        <v>34</v>
      </c>
      <c r="D330" s="2" t="s">
        <v>47</v>
      </c>
      <c r="E330" s="3">
        <v>45182</v>
      </c>
      <c r="F330" s="3">
        <v>45191</v>
      </c>
      <c r="G330" s="4">
        <v>203</v>
      </c>
      <c r="H330" s="4">
        <v>9</v>
      </c>
      <c r="I330" s="2" t="s">
        <v>42</v>
      </c>
      <c r="J330" s="2" t="s">
        <v>19</v>
      </c>
      <c r="K330" s="4">
        <v>4</v>
      </c>
      <c r="L330" s="4">
        <v>109.27</v>
      </c>
      <c r="M330" s="4">
        <v>437.08</v>
      </c>
      <c r="N330" s="2" t="s">
        <v>31</v>
      </c>
    </row>
    <row r="331" spans="1:14" ht="15" x14ac:dyDescent="0.25">
      <c r="A331" s="2" t="s">
        <v>377</v>
      </c>
      <c r="B331" s="2" t="s">
        <v>15</v>
      </c>
      <c r="C331" s="2" t="s">
        <v>16</v>
      </c>
      <c r="D331" s="2" t="s">
        <v>23</v>
      </c>
      <c r="E331" s="3">
        <v>45073</v>
      </c>
      <c r="F331" s="3">
        <v>45074</v>
      </c>
      <c r="G331" s="4">
        <v>309</v>
      </c>
      <c r="H331" s="4">
        <v>1</v>
      </c>
      <c r="I331" s="2" t="s">
        <v>63</v>
      </c>
      <c r="J331" s="2" t="s">
        <v>19</v>
      </c>
      <c r="K331" s="4">
        <v>1</v>
      </c>
      <c r="L331" s="4">
        <v>439.38</v>
      </c>
      <c r="M331" s="4">
        <v>439.38</v>
      </c>
      <c r="N331" s="2" t="s">
        <v>31</v>
      </c>
    </row>
    <row r="332" spans="1:14" ht="15" x14ac:dyDescent="0.25">
      <c r="A332" s="2" t="s">
        <v>378</v>
      </c>
      <c r="B332" s="2" t="s">
        <v>28</v>
      </c>
      <c r="C332" s="2" t="s">
        <v>46</v>
      </c>
      <c r="D332" s="2" t="s">
        <v>54</v>
      </c>
      <c r="E332" s="3">
        <v>45006</v>
      </c>
      <c r="F332" s="3">
        <v>45013</v>
      </c>
      <c r="G332" s="4">
        <v>653</v>
      </c>
      <c r="H332" s="4">
        <v>7</v>
      </c>
      <c r="I332" s="2" t="s">
        <v>55</v>
      </c>
      <c r="J332" s="2" t="s">
        <v>39</v>
      </c>
      <c r="K332" s="4">
        <v>2</v>
      </c>
      <c r="L332" s="4">
        <v>120.77</v>
      </c>
      <c r="M332" s="4">
        <v>241.54</v>
      </c>
      <c r="N332" s="2" t="s">
        <v>20</v>
      </c>
    </row>
    <row r="333" spans="1:14" ht="15" x14ac:dyDescent="0.25">
      <c r="A333" s="2" t="s">
        <v>379</v>
      </c>
      <c r="B333" s="2" t="s">
        <v>33</v>
      </c>
      <c r="C333" s="2" t="s">
        <v>76</v>
      </c>
      <c r="D333" s="2" t="s">
        <v>54</v>
      </c>
      <c r="E333" s="3">
        <v>45162</v>
      </c>
      <c r="F333" s="3">
        <v>45170</v>
      </c>
      <c r="G333" s="4">
        <v>927</v>
      </c>
      <c r="H333" s="4">
        <v>8</v>
      </c>
      <c r="I333" s="2" t="s">
        <v>42</v>
      </c>
      <c r="J333" s="2" t="s">
        <v>57</v>
      </c>
      <c r="K333" s="4">
        <v>2</v>
      </c>
      <c r="L333" s="4">
        <v>189.4</v>
      </c>
      <c r="M333" s="4">
        <v>378.8</v>
      </c>
      <c r="N333" s="2" t="s">
        <v>26</v>
      </c>
    </row>
    <row r="334" spans="1:14" ht="15" x14ac:dyDescent="0.25">
      <c r="A334" s="2" t="s">
        <v>380</v>
      </c>
      <c r="B334" s="2" t="s">
        <v>75</v>
      </c>
      <c r="C334" s="2" t="s">
        <v>37</v>
      </c>
      <c r="D334" s="2" t="s">
        <v>35</v>
      </c>
      <c r="E334" s="3">
        <v>45080</v>
      </c>
      <c r="F334" s="3">
        <v>45083</v>
      </c>
      <c r="G334" s="4">
        <v>567</v>
      </c>
      <c r="H334" s="4">
        <v>3</v>
      </c>
      <c r="I334" s="2" t="s">
        <v>55</v>
      </c>
      <c r="J334" s="2" t="s">
        <v>25</v>
      </c>
      <c r="K334" s="4">
        <v>4</v>
      </c>
      <c r="L334" s="4">
        <v>180.52</v>
      </c>
      <c r="M334" s="4">
        <v>722.08</v>
      </c>
      <c r="N334" s="2" t="s">
        <v>43</v>
      </c>
    </row>
    <row r="335" spans="1:14" ht="15" x14ac:dyDescent="0.25">
      <c r="A335" s="2" t="s">
        <v>381</v>
      </c>
      <c r="B335" s="2" t="s">
        <v>33</v>
      </c>
      <c r="C335" s="2" t="s">
        <v>76</v>
      </c>
      <c r="D335" s="2" t="s">
        <v>17</v>
      </c>
      <c r="E335" s="3">
        <v>44975</v>
      </c>
      <c r="F335" s="3">
        <v>44979</v>
      </c>
      <c r="G335" s="4">
        <v>553</v>
      </c>
      <c r="H335" s="4">
        <v>4</v>
      </c>
      <c r="I335" s="2" t="s">
        <v>51</v>
      </c>
      <c r="J335" s="2" t="s">
        <v>39</v>
      </c>
      <c r="K335" s="4">
        <v>2</v>
      </c>
      <c r="L335" s="4">
        <v>442.14</v>
      </c>
      <c r="M335" s="4">
        <v>884.28</v>
      </c>
      <c r="N335" s="2" t="s">
        <v>26</v>
      </c>
    </row>
    <row r="336" spans="1:14" ht="15" x14ac:dyDescent="0.25">
      <c r="A336" s="2" t="s">
        <v>382</v>
      </c>
      <c r="B336" s="2" t="s">
        <v>41</v>
      </c>
      <c r="C336" s="2" t="s">
        <v>29</v>
      </c>
      <c r="D336" s="2" t="s">
        <v>47</v>
      </c>
      <c r="E336" s="3">
        <v>45255</v>
      </c>
      <c r="F336" s="3">
        <v>45261</v>
      </c>
      <c r="G336" s="4">
        <v>367</v>
      </c>
      <c r="H336" s="4">
        <v>6</v>
      </c>
      <c r="I336" s="2" t="s">
        <v>42</v>
      </c>
      <c r="J336" s="2" t="s">
        <v>19</v>
      </c>
      <c r="K336" s="4">
        <v>1</v>
      </c>
      <c r="L336" s="4">
        <v>352.72</v>
      </c>
      <c r="M336" s="4">
        <v>352.72</v>
      </c>
      <c r="N336" s="2" t="s">
        <v>43</v>
      </c>
    </row>
    <row r="337" spans="1:14" ht="15" x14ac:dyDescent="0.25">
      <c r="A337" s="2" t="s">
        <v>383</v>
      </c>
      <c r="B337" s="2" t="s">
        <v>75</v>
      </c>
      <c r="C337" s="2" t="s">
        <v>37</v>
      </c>
      <c r="D337" s="2" t="s">
        <v>17</v>
      </c>
      <c r="E337" s="3">
        <v>45179</v>
      </c>
      <c r="F337" s="3">
        <v>45186</v>
      </c>
      <c r="G337" s="4">
        <v>485</v>
      </c>
      <c r="H337" s="4">
        <v>7</v>
      </c>
      <c r="I337" s="2" t="s">
        <v>63</v>
      </c>
      <c r="J337" s="2" t="s">
        <v>57</v>
      </c>
      <c r="K337" s="4">
        <v>3</v>
      </c>
      <c r="L337" s="4">
        <v>408.51</v>
      </c>
      <c r="M337" s="4">
        <v>1225.53</v>
      </c>
      <c r="N337" s="2" t="s">
        <v>43</v>
      </c>
    </row>
    <row r="338" spans="1:14" ht="15" x14ac:dyDescent="0.25">
      <c r="A338" s="2" t="s">
        <v>384</v>
      </c>
      <c r="B338" s="2" t="s">
        <v>33</v>
      </c>
      <c r="C338" s="2" t="s">
        <v>37</v>
      </c>
      <c r="D338" s="2" t="s">
        <v>54</v>
      </c>
      <c r="E338" s="3">
        <v>45176</v>
      </c>
      <c r="F338" s="3">
        <v>45180</v>
      </c>
      <c r="G338" s="4">
        <v>874</v>
      </c>
      <c r="H338" s="4">
        <v>4</v>
      </c>
      <c r="I338" s="2" t="s">
        <v>24</v>
      </c>
      <c r="J338" s="2" t="s">
        <v>57</v>
      </c>
      <c r="K338" s="4">
        <v>3</v>
      </c>
      <c r="L338" s="4">
        <v>162.71</v>
      </c>
      <c r="M338" s="4">
        <v>488.13</v>
      </c>
      <c r="N338" s="2" t="s">
        <v>43</v>
      </c>
    </row>
    <row r="339" spans="1:14" ht="15" x14ac:dyDescent="0.25">
      <c r="A339" s="2" t="s">
        <v>385</v>
      </c>
      <c r="B339" s="2" t="s">
        <v>45</v>
      </c>
      <c r="C339" s="2" t="s">
        <v>37</v>
      </c>
      <c r="D339" s="2" t="s">
        <v>17</v>
      </c>
      <c r="E339" s="3">
        <v>45227</v>
      </c>
      <c r="F339" s="3">
        <v>45235</v>
      </c>
      <c r="G339" s="4">
        <v>947</v>
      </c>
      <c r="H339" s="4">
        <v>8</v>
      </c>
      <c r="I339" s="2" t="s">
        <v>63</v>
      </c>
      <c r="J339" s="2" t="s">
        <v>49</v>
      </c>
      <c r="K339" s="4">
        <v>2</v>
      </c>
      <c r="L339" s="4">
        <v>331.19</v>
      </c>
      <c r="M339" s="4">
        <v>662.38</v>
      </c>
      <c r="N339" s="2" t="s">
        <v>31</v>
      </c>
    </row>
    <row r="340" spans="1:14" ht="15" x14ac:dyDescent="0.25">
      <c r="A340" s="2" t="s">
        <v>386</v>
      </c>
      <c r="B340" s="2" t="s">
        <v>53</v>
      </c>
      <c r="C340" s="2" t="s">
        <v>29</v>
      </c>
      <c r="D340" s="2" t="s">
        <v>17</v>
      </c>
      <c r="E340" s="3">
        <v>45120</v>
      </c>
      <c r="F340" s="3">
        <v>45125</v>
      </c>
      <c r="G340" s="4">
        <v>486</v>
      </c>
      <c r="H340" s="4">
        <v>5</v>
      </c>
      <c r="I340" s="2" t="s">
        <v>55</v>
      </c>
      <c r="J340" s="2" t="s">
        <v>25</v>
      </c>
      <c r="K340" s="4">
        <v>4</v>
      </c>
      <c r="L340" s="4">
        <v>307.29000000000002</v>
      </c>
      <c r="M340" s="4">
        <v>1229.1600000000001</v>
      </c>
      <c r="N340" s="2" t="s">
        <v>31</v>
      </c>
    </row>
    <row r="341" spans="1:14" ht="15" x14ac:dyDescent="0.25">
      <c r="A341" s="2" t="s">
        <v>387</v>
      </c>
      <c r="B341" s="2" t="s">
        <v>22</v>
      </c>
      <c r="C341" s="2" t="s">
        <v>76</v>
      </c>
      <c r="D341" s="2" t="s">
        <v>47</v>
      </c>
      <c r="E341" s="3">
        <v>45224</v>
      </c>
      <c r="F341" s="3">
        <v>45225</v>
      </c>
      <c r="G341" s="4">
        <v>976</v>
      </c>
      <c r="H341" s="4">
        <v>1</v>
      </c>
      <c r="I341" s="2" t="s">
        <v>18</v>
      </c>
      <c r="J341" s="2" t="s">
        <v>49</v>
      </c>
      <c r="K341" s="4">
        <v>4</v>
      </c>
      <c r="L341" s="4">
        <v>424.77</v>
      </c>
      <c r="M341" s="4">
        <v>1699.08</v>
      </c>
      <c r="N341" s="2" t="s">
        <v>31</v>
      </c>
    </row>
    <row r="342" spans="1:14" ht="15" x14ac:dyDescent="0.25">
      <c r="A342" s="2" t="s">
        <v>388</v>
      </c>
      <c r="B342" s="2" t="s">
        <v>28</v>
      </c>
      <c r="C342" s="2" t="s">
        <v>29</v>
      </c>
      <c r="D342" s="2" t="s">
        <v>23</v>
      </c>
      <c r="E342" s="3">
        <v>45108</v>
      </c>
      <c r="F342" s="3">
        <v>45112</v>
      </c>
      <c r="G342" s="4">
        <v>358</v>
      </c>
      <c r="H342" s="4">
        <v>4</v>
      </c>
      <c r="I342" s="2" t="s">
        <v>51</v>
      </c>
      <c r="J342" s="2" t="s">
        <v>57</v>
      </c>
      <c r="K342" s="4">
        <v>4</v>
      </c>
      <c r="L342" s="4">
        <v>457.74</v>
      </c>
      <c r="M342" s="4">
        <v>1830.96</v>
      </c>
      <c r="N342" s="2" t="s">
        <v>43</v>
      </c>
    </row>
    <row r="343" spans="1:14" ht="15" x14ac:dyDescent="0.25">
      <c r="A343" s="2" t="s">
        <v>389</v>
      </c>
      <c r="B343" s="2" t="s">
        <v>28</v>
      </c>
      <c r="C343" s="2" t="s">
        <v>61</v>
      </c>
      <c r="D343" s="2" t="s">
        <v>17</v>
      </c>
      <c r="E343" s="3">
        <v>44951</v>
      </c>
      <c r="F343" s="3">
        <v>44954</v>
      </c>
      <c r="G343" s="4">
        <v>382</v>
      </c>
      <c r="H343" s="4">
        <v>3</v>
      </c>
      <c r="I343" s="2" t="s">
        <v>30</v>
      </c>
      <c r="J343" s="2" t="s">
        <v>49</v>
      </c>
      <c r="K343" s="4">
        <v>4</v>
      </c>
      <c r="L343" s="4">
        <v>55.47</v>
      </c>
      <c r="M343" s="4">
        <v>221.88</v>
      </c>
      <c r="N343" s="2" t="s">
        <v>31</v>
      </c>
    </row>
    <row r="344" spans="1:14" ht="15" x14ac:dyDescent="0.25">
      <c r="A344" s="2" t="s">
        <v>390</v>
      </c>
      <c r="B344" s="2" t="s">
        <v>22</v>
      </c>
      <c r="C344" s="2" t="s">
        <v>76</v>
      </c>
      <c r="D344" s="2" t="s">
        <v>17</v>
      </c>
      <c r="E344" s="3">
        <v>45074</v>
      </c>
      <c r="F344" s="3">
        <v>45083</v>
      </c>
      <c r="G344" s="4">
        <v>725</v>
      </c>
      <c r="H344" s="4">
        <v>9</v>
      </c>
      <c r="I344" s="2" t="s">
        <v>55</v>
      </c>
      <c r="J344" s="2" t="s">
        <v>25</v>
      </c>
      <c r="K344" s="4">
        <v>4</v>
      </c>
      <c r="L344" s="4">
        <v>353.31</v>
      </c>
      <c r="M344" s="4">
        <v>1413.24</v>
      </c>
      <c r="N344" s="2" t="s">
        <v>31</v>
      </c>
    </row>
    <row r="345" spans="1:14" ht="15" x14ac:dyDescent="0.25">
      <c r="A345" s="2" t="s">
        <v>391</v>
      </c>
      <c r="B345" s="2" t="s">
        <v>33</v>
      </c>
      <c r="C345" s="2" t="s">
        <v>76</v>
      </c>
      <c r="D345" s="2" t="s">
        <v>54</v>
      </c>
      <c r="E345" s="3">
        <v>45108</v>
      </c>
      <c r="F345" s="3">
        <v>45116</v>
      </c>
      <c r="G345" s="4">
        <v>974</v>
      </c>
      <c r="H345" s="4">
        <v>8</v>
      </c>
      <c r="I345" s="2" t="s">
        <v>63</v>
      </c>
      <c r="J345" s="2" t="s">
        <v>57</v>
      </c>
      <c r="K345" s="4">
        <v>2</v>
      </c>
      <c r="L345" s="4">
        <v>73.33</v>
      </c>
      <c r="M345" s="4">
        <v>146.66</v>
      </c>
      <c r="N345" s="2" t="s">
        <v>43</v>
      </c>
    </row>
    <row r="346" spans="1:14" ht="15" x14ac:dyDescent="0.25">
      <c r="A346" s="2" t="s">
        <v>392</v>
      </c>
      <c r="B346" s="2" t="s">
        <v>45</v>
      </c>
      <c r="C346" s="2" t="s">
        <v>61</v>
      </c>
      <c r="D346" s="2" t="s">
        <v>35</v>
      </c>
      <c r="E346" s="3">
        <v>45189</v>
      </c>
      <c r="F346" s="3">
        <v>45190</v>
      </c>
      <c r="G346" s="4">
        <v>139</v>
      </c>
      <c r="H346" s="4">
        <v>1</v>
      </c>
      <c r="I346" s="2" t="s">
        <v>18</v>
      </c>
      <c r="J346" s="2" t="s">
        <v>57</v>
      </c>
      <c r="K346" s="4">
        <v>3</v>
      </c>
      <c r="L346" s="4">
        <v>296.99</v>
      </c>
      <c r="M346" s="4">
        <v>890.97</v>
      </c>
      <c r="N346" s="2" t="s">
        <v>43</v>
      </c>
    </row>
    <row r="347" spans="1:14" ht="15" x14ac:dyDescent="0.25">
      <c r="A347" s="2" t="s">
        <v>393</v>
      </c>
      <c r="B347" s="2" t="s">
        <v>22</v>
      </c>
      <c r="C347" s="2" t="s">
        <v>76</v>
      </c>
      <c r="D347" s="2" t="s">
        <v>54</v>
      </c>
      <c r="E347" s="3">
        <v>44965</v>
      </c>
      <c r="F347" s="3">
        <v>44971</v>
      </c>
      <c r="G347" s="4">
        <v>585</v>
      </c>
      <c r="H347" s="4">
        <v>6</v>
      </c>
      <c r="I347" s="2" t="s">
        <v>55</v>
      </c>
      <c r="J347" s="2" t="s">
        <v>57</v>
      </c>
      <c r="K347" s="4">
        <v>3</v>
      </c>
      <c r="L347" s="4">
        <v>179.43</v>
      </c>
      <c r="M347" s="4">
        <v>538.29</v>
      </c>
      <c r="N347" s="2" t="s">
        <v>43</v>
      </c>
    </row>
    <row r="348" spans="1:14" ht="15" x14ac:dyDescent="0.25">
      <c r="A348" s="2" t="s">
        <v>394</v>
      </c>
      <c r="B348" s="2" t="s">
        <v>28</v>
      </c>
      <c r="C348" s="2" t="s">
        <v>29</v>
      </c>
      <c r="D348" s="2" t="s">
        <v>54</v>
      </c>
      <c r="E348" s="3">
        <v>44978</v>
      </c>
      <c r="F348" s="3">
        <v>44987</v>
      </c>
      <c r="G348" s="4">
        <v>319</v>
      </c>
      <c r="H348" s="4">
        <v>9</v>
      </c>
      <c r="I348" s="2" t="s">
        <v>18</v>
      </c>
      <c r="J348" s="2" t="s">
        <v>19</v>
      </c>
      <c r="K348" s="4">
        <v>2</v>
      </c>
      <c r="L348" s="4">
        <v>188.05</v>
      </c>
      <c r="M348" s="4">
        <v>376.1</v>
      </c>
      <c r="N348" s="2" t="s">
        <v>26</v>
      </c>
    </row>
    <row r="349" spans="1:14" ht="15" x14ac:dyDescent="0.25">
      <c r="A349" s="2" t="s">
        <v>395</v>
      </c>
      <c r="B349" s="2" t="s">
        <v>15</v>
      </c>
      <c r="C349" s="2" t="s">
        <v>16</v>
      </c>
      <c r="D349" s="2" t="s">
        <v>17</v>
      </c>
      <c r="E349" s="3">
        <v>45023</v>
      </c>
      <c r="F349" s="3">
        <v>45030</v>
      </c>
      <c r="G349" s="4">
        <v>228</v>
      </c>
      <c r="H349" s="4">
        <v>7</v>
      </c>
      <c r="I349" s="2" t="s">
        <v>42</v>
      </c>
      <c r="J349" s="2" t="s">
        <v>19</v>
      </c>
      <c r="K349" s="4">
        <v>4</v>
      </c>
      <c r="L349" s="4">
        <v>208.83</v>
      </c>
      <c r="M349" s="4">
        <v>835.32</v>
      </c>
      <c r="N349" s="2" t="s">
        <v>26</v>
      </c>
    </row>
    <row r="350" spans="1:14" ht="15" x14ac:dyDescent="0.25">
      <c r="A350" s="2" t="s">
        <v>396</v>
      </c>
      <c r="B350" s="2" t="s">
        <v>15</v>
      </c>
      <c r="C350" s="2" t="s">
        <v>16</v>
      </c>
      <c r="D350" s="2" t="s">
        <v>23</v>
      </c>
      <c r="E350" s="3">
        <v>45024</v>
      </c>
      <c r="F350" s="3">
        <v>45028</v>
      </c>
      <c r="G350" s="4">
        <v>619</v>
      </c>
      <c r="H350" s="4">
        <v>4</v>
      </c>
      <c r="I350" s="2" t="s">
        <v>51</v>
      </c>
      <c r="J350" s="2" t="s">
        <v>25</v>
      </c>
      <c r="K350" s="4">
        <v>2</v>
      </c>
      <c r="L350" s="4">
        <v>329.58</v>
      </c>
      <c r="M350" s="4">
        <v>659.16</v>
      </c>
      <c r="N350" s="2" t="s">
        <v>20</v>
      </c>
    </row>
    <row r="351" spans="1:14" ht="15" x14ac:dyDescent="0.25">
      <c r="A351" s="2" t="s">
        <v>397</v>
      </c>
      <c r="B351" s="2" t="s">
        <v>45</v>
      </c>
      <c r="C351" s="2" t="s">
        <v>34</v>
      </c>
      <c r="D351" s="2" t="s">
        <v>54</v>
      </c>
      <c r="E351" s="3">
        <v>45194</v>
      </c>
      <c r="F351" s="3">
        <v>45195</v>
      </c>
      <c r="G351" s="4">
        <v>712</v>
      </c>
      <c r="H351" s="4">
        <v>1</v>
      </c>
      <c r="I351" s="2" t="s">
        <v>55</v>
      </c>
      <c r="J351" s="2" t="s">
        <v>57</v>
      </c>
      <c r="K351" s="4">
        <v>3</v>
      </c>
      <c r="L351" s="4">
        <v>200.32</v>
      </c>
      <c r="M351" s="4">
        <v>600.96</v>
      </c>
      <c r="N351" s="2" t="s">
        <v>20</v>
      </c>
    </row>
    <row r="352" spans="1:14" ht="15" x14ac:dyDescent="0.25">
      <c r="A352" s="2" t="s">
        <v>398</v>
      </c>
      <c r="B352" s="2" t="s">
        <v>41</v>
      </c>
      <c r="C352" s="2" t="s">
        <v>37</v>
      </c>
      <c r="D352" s="2" t="s">
        <v>35</v>
      </c>
      <c r="E352" s="3">
        <v>45018</v>
      </c>
      <c r="F352" s="3">
        <v>45020</v>
      </c>
      <c r="G352" s="4">
        <v>991</v>
      </c>
      <c r="H352" s="4">
        <v>2</v>
      </c>
      <c r="I352" s="2" t="s">
        <v>55</v>
      </c>
      <c r="J352" s="2" t="s">
        <v>19</v>
      </c>
      <c r="K352" s="4">
        <v>1</v>
      </c>
      <c r="L352" s="4">
        <v>379.71</v>
      </c>
      <c r="M352" s="4">
        <v>379.71</v>
      </c>
      <c r="N352" s="2" t="s">
        <v>20</v>
      </c>
    </row>
    <row r="353" spans="1:14" ht="15" x14ac:dyDescent="0.25">
      <c r="A353" s="2" t="s">
        <v>399</v>
      </c>
      <c r="B353" s="2" t="s">
        <v>45</v>
      </c>
      <c r="C353" s="2" t="s">
        <v>29</v>
      </c>
      <c r="D353" s="2" t="s">
        <v>54</v>
      </c>
      <c r="E353" s="3">
        <v>45158</v>
      </c>
      <c r="F353" s="3">
        <v>45163</v>
      </c>
      <c r="G353" s="4">
        <v>787</v>
      </c>
      <c r="H353" s="4">
        <v>5</v>
      </c>
      <c r="I353" s="2" t="s">
        <v>42</v>
      </c>
      <c r="J353" s="2" t="s">
        <v>25</v>
      </c>
      <c r="K353" s="4">
        <v>2</v>
      </c>
      <c r="L353" s="4">
        <v>232.04</v>
      </c>
      <c r="M353" s="4">
        <v>464.08</v>
      </c>
      <c r="N353" s="2" t="s">
        <v>31</v>
      </c>
    </row>
    <row r="354" spans="1:14" ht="15" x14ac:dyDescent="0.25">
      <c r="A354" s="2" t="s">
        <v>400</v>
      </c>
      <c r="B354" s="2" t="s">
        <v>33</v>
      </c>
      <c r="C354" s="2" t="s">
        <v>16</v>
      </c>
      <c r="D354" s="2" t="s">
        <v>35</v>
      </c>
      <c r="E354" s="3">
        <v>45107</v>
      </c>
      <c r="F354" s="3">
        <v>45112</v>
      </c>
      <c r="G354" s="4">
        <v>718</v>
      </c>
      <c r="H354" s="4">
        <v>5</v>
      </c>
      <c r="I354" s="2" t="s">
        <v>51</v>
      </c>
      <c r="J354" s="2" t="s">
        <v>25</v>
      </c>
      <c r="K354" s="4">
        <v>4</v>
      </c>
      <c r="L354" s="4">
        <v>80.760000000000005</v>
      </c>
      <c r="M354" s="4">
        <v>323.04000000000002</v>
      </c>
      <c r="N354" s="2" t="s">
        <v>26</v>
      </c>
    </row>
    <row r="355" spans="1:14" ht="15" x14ac:dyDescent="0.25">
      <c r="A355" s="2" t="s">
        <v>401</v>
      </c>
      <c r="B355" s="2" t="s">
        <v>28</v>
      </c>
      <c r="C355" s="2" t="s">
        <v>34</v>
      </c>
      <c r="D355" s="2" t="s">
        <v>54</v>
      </c>
      <c r="E355" s="3">
        <v>45136</v>
      </c>
      <c r="F355" s="3">
        <v>45144</v>
      </c>
      <c r="G355" s="4">
        <v>712</v>
      </c>
      <c r="H355" s="4">
        <v>8</v>
      </c>
      <c r="I355" s="2" t="s">
        <v>63</v>
      </c>
      <c r="J355" s="2" t="s">
        <v>19</v>
      </c>
      <c r="K355" s="4">
        <v>3</v>
      </c>
      <c r="L355" s="4">
        <v>402.69</v>
      </c>
      <c r="M355" s="4">
        <v>1208.07</v>
      </c>
      <c r="N355" s="2" t="s">
        <v>26</v>
      </c>
    </row>
    <row r="356" spans="1:14" ht="15" x14ac:dyDescent="0.25">
      <c r="A356" s="2" t="s">
        <v>402</v>
      </c>
      <c r="B356" s="2" t="s">
        <v>33</v>
      </c>
      <c r="C356" s="2" t="s">
        <v>16</v>
      </c>
      <c r="D356" s="2" t="s">
        <v>35</v>
      </c>
      <c r="E356" s="3">
        <v>45232</v>
      </c>
      <c r="F356" s="3">
        <v>45238</v>
      </c>
      <c r="G356" s="4">
        <v>359</v>
      </c>
      <c r="H356" s="4">
        <v>6</v>
      </c>
      <c r="I356" s="2" t="s">
        <v>51</v>
      </c>
      <c r="J356" s="2" t="s">
        <v>25</v>
      </c>
      <c r="K356" s="4">
        <v>3</v>
      </c>
      <c r="L356" s="4">
        <v>178.59</v>
      </c>
      <c r="M356" s="4">
        <v>535.77</v>
      </c>
      <c r="N356" s="2" t="s">
        <v>43</v>
      </c>
    </row>
    <row r="357" spans="1:14" ht="15" x14ac:dyDescent="0.25">
      <c r="A357" s="2" t="s">
        <v>403</v>
      </c>
      <c r="B357" s="2" t="s">
        <v>75</v>
      </c>
      <c r="C357" s="2" t="s">
        <v>29</v>
      </c>
      <c r="D357" s="2" t="s">
        <v>35</v>
      </c>
      <c r="E357" s="3">
        <v>45074</v>
      </c>
      <c r="F357" s="3">
        <v>45082</v>
      </c>
      <c r="G357" s="4">
        <v>465</v>
      </c>
      <c r="H357" s="4">
        <v>8</v>
      </c>
      <c r="I357" s="2" t="s">
        <v>24</v>
      </c>
      <c r="J357" s="2" t="s">
        <v>19</v>
      </c>
      <c r="K357" s="4">
        <v>3</v>
      </c>
      <c r="L357" s="4">
        <v>244.75</v>
      </c>
      <c r="M357" s="4">
        <v>734.25</v>
      </c>
      <c r="N357" s="2" t="s">
        <v>31</v>
      </c>
    </row>
    <row r="358" spans="1:14" ht="15" x14ac:dyDescent="0.25">
      <c r="A358" s="2" t="s">
        <v>404</v>
      </c>
      <c r="B358" s="2" t="s">
        <v>28</v>
      </c>
      <c r="C358" s="2" t="s">
        <v>76</v>
      </c>
      <c r="D358" s="2" t="s">
        <v>35</v>
      </c>
      <c r="E358" s="3">
        <v>45208</v>
      </c>
      <c r="F358" s="3">
        <v>45210</v>
      </c>
      <c r="G358" s="4">
        <v>857</v>
      </c>
      <c r="H358" s="4">
        <v>2</v>
      </c>
      <c r="I358" s="2" t="s">
        <v>51</v>
      </c>
      <c r="J358" s="2" t="s">
        <v>49</v>
      </c>
      <c r="K358" s="4">
        <v>3</v>
      </c>
      <c r="L358" s="4">
        <v>358.45</v>
      </c>
      <c r="M358" s="4">
        <v>1075.3499999999999</v>
      </c>
      <c r="N358" s="2" t="s">
        <v>26</v>
      </c>
    </row>
    <row r="359" spans="1:14" ht="15" x14ac:dyDescent="0.25">
      <c r="A359" s="2" t="s">
        <v>305</v>
      </c>
      <c r="B359" s="2" t="s">
        <v>15</v>
      </c>
      <c r="C359" s="2" t="s">
        <v>29</v>
      </c>
      <c r="D359" s="2" t="s">
        <v>54</v>
      </c>
      <c r="E359" s="3">
        <v>45081</v>
      </c>
      <c r="F359" s="3">
        <v>45084</v>
      </c>
      <c r="G359" s="4">
        <v>886</v>
      </c>
      <c r="H359" s="4">
        <v>3</v>
      </c>
      <c r="I359" s="2" t="s">
        <v>51</v>
      </c>
      <c r="J359" s="2" t="s">
        <v>39</v>
      </c>
      <c r="K359" s="4">
        <v>4</v>
      </c>
      <c r="L359" s="4">
        <v>199.61</v>
      </c>
      <c r="M359" s="4">
        <v>798.44</v>
      </c>
      <c r="N359" s="2" t="s">
        <v>20</v>
      </c>
    </row>
    <row r="360" spans="1:14" ht="15" x14ac:dyDescent="0.25">
      <c r="A360" s="2" t="s">
        <v>405</v>
      </c>
      <c r="B360" s="2" t="s">
        <v>33</v>
      </c>
      <c r="C360" s="2" t="s">
        <v>37</v>
      </c>
      <c r="D360" s="2" t="s">
        <v>35</v>
      </c>
      <c r="E360" s="3">
        <v>45056</v>
      </c>
      <c r="F360" s="3">
        <v>45062</v>
      </c>
      <c r="G360" s="4">
        <v>643</v>
      </c>
      <c r="H360" s="4">
        <v>6</v>
      </c>
      <c r="I360" s="2" t="s">
        <v>55</v>
      </c>
      <c r="J360" s="2" t="s">
        <v>49</v>
      </c>
      <c r="K360" s="4">
        <v>1</v>
      </c>
      <c r="L360" s="4">
        <v>75.459999999999994</v>
      </c>
      <c r="M360" s="4">
        <v>75.459999999999994</v>
      </c>
      <c r="N360" s="2" t="s">
        <v>31</v>
      </c>
    </row>
    <row r="361" spans="1:14" ht="15" x14ac:dyDescent="0.25">
      <c r="A361" s="2" t="s">
        <v>406</v>
      </c>
      <c r="B361" s="2" t="s">
        <v>15</v>
      </c>
      <c r="C361" s="2" t="s">
        <v>46</v>
      </c>
      <c r="D361" s="2" t="s">
        <v>47</v>
      </c>
      <c r="E361" s="3">
        <v>45276</v>
      </c>
      <c r="F361" s="3">
        <v>45279</v>
      </c>
      <c r="G361" s="4">
        <v>748</v>
      </c>
      <c r="H361" s="4">
        <v>3</v>
      </c>
      <c r="I361" s="2" t="s">
        <v>55</v>
      </c>
      <c r="J361" s="2" t="s">
        <v>49</v>
      </c>
      <c r="K361" s="4">
        <v>3</v>
      </c>
      <c r="L361" s="4">
        <v>218.26</v>
      </c>
      <c r="M361" s="4">
        <v>654.78</v>
      </c>
      <c r="N361" s="2" t="s">
        <v>43</v>
      </c>
    </row>
    <row r="362" spans="1:14" ht="15" x14ac:dyDescent="0.25">
      <c r="A362" s="2" t="s">
        <v>407</v>
      </c>
      <c r="B362" s="2" t="s">
        <v>33</v>
      </c>
      <c r="C362" s="2" t="s">
        <v>61</v>
      </c>
      <c r="D362" s="2" t="s">
        <v>17</v>
      </c>
      <c r="E362" s="3">
        <v>44994</v>
      </c>
      <c r="F362" s="3">
        <v>45000</v>
      </c>
      <c r="G362" s="4">
        <v>623</v>
      </c>
      <c r="H362" s="4">
        <v>6</v>
      </c>
      <c r="I362" s="2" t="s">
        <v>51</v>
      </c>
      <c r="J362" s="2" t="s">
        <v>39</v>
      </c>
      <c r="K362" s="4">
        <v>2</v>
      </c>
      <c r="L362" s="4">
        <v>475</v>
      </c>
      <c r="M362" s="4">
        <v>950</v>
      </c>
      <c r="N362" s="2" t="s">
        <v>26</v>
      </c>
    </row>
    <row r="363" spans="1:14" ht="15" x14ac:dyDescent="0.25">
      <c r="A363" s="2" t="s">
        <v>408</v>
      </c>
      <c r="B363" s="2" t="s">
        <v>28</v>
      </c>
      <c r="C363" s="2" t="s">
        <v>61</v>
      </c>
      <c r="D363" s="2" t="s">
        <v>17</v>
      </c>
      <c r="E363" s="3">
        <v>44959</v>
      </c>
      <c r="F363" s="3">
        <v>44965</v>
      </c>
      <c r="G363" s="4">
        <v>913</v>
      </c>
      <c r="H363" s="4">
        <v>6</v>
      </c>
      <c r="I363" s="2" t="s">
        <v>51</v>
      </c>
      <c r="J363" s="2" t="s">
        <v>39</v>
      </c>
      <c r="K363" s="4">
        <v>1</v>
      </c>
      <c r="L363" s="4">
        <v>338.78</v>
      </c>
      <c r="M363" s="4">
        <v>338.78</v>
      </c>
      <c r="N363" s="2" t="s">
        <v>26</v>
      </c>
    </row>
    <row r="364" spans="1:14" ht="15" x14ac:dyDescent="0.25">
      <c r="A364" s="2" t="s">
        <v>409</v>
      </c>
      <c r="B364" s="2" t="s">
        <v>28</v>
      </c>
      <c r="C364" s="2" t="s">
        <v>34</v>
      </c>
      <c r="D364" s="2" t="s">
        <v>54</v>
      </c>
      <c r="E364" s="3">
        <v>45208</v>
      </c>
      <c r="F364" s="3">
        <v>45210</v>
      </c>
      <c r="G364" s="4">
        <v>986</v>
      </c>
      <c r="H364" s="4">
        <v>2</v>
      </c>
      <c r="I364" s="2" t="s">
        <v>51</v>
      </c>
      <c r="J364" s="2" t="s">
        <v>49</v>
      </c>
      <c r="K364" s="4">
        <v>3</v>
      </c>
      <c r="L364" s="4">
        <v>352.17</v>
      </c>
      <c r="M364" s="4">
        <v>1056.51</v>
      </c>
      <c r="N364" s="2" t="s">
        <v>31</v>
      </c>
    </row>
    <row r="365" spans="1:14" ht="15" x14ac:dyDescent="0.25">
      <c r="A365" s="2" t="s">
        <v>410</v>
      </c>
      <c r="B365" s="2" t="s">
        <v>53</v>
      </c>
      <c r="C365" s="2" t="s">
        <v>61</v>
      </c>
      <c r="D365" s="2" t="s">
        <v>23</v>
      </c>
      <c r="E365" s="3">
        <v>44951</v>
      </c>
      <c r="F365" s="3">
        <v>44958</v>
      </c>
      <c r="G365" s="4">
        <v>115</v>
      </c>
      <c r="H365" s="4">
        <v>7</v>
      </c>
      <c r="I365" s="2" t="s">
        <v>51</v>
      </c>
      <c r="J365" s="2" t="s">
        <v>49</v>
      </c>
      <c r="K365" s="4">
        <v>1</v>
      </c>
      <c r="L365" s="4">
        <v>334.53</v>
      </c>
      <c r="M365" s="4">
        <v>334.53</v>
      </c>
      <c r="N365" s="2" t="s">
        <v>43</v>
      </c>
    </row>
    <row r="366" spans="1:14" ht="15" x14ac:dyDescent="0.25">
      <c r="A366" s="2" t="s">
        <v>411</v>
      </c>
      <c r="B366" s="2" t="s">
        <v>45</v>
      </c>
      <c r="C366" s="2" t="s">
        <v>34</v>
      </c>
      <c r="D366" s="2" t="s">
        <v>54</v>
      </c>
      <c r="E366" s="3">
        <v>45232</v>
      </c>
      <c r="F366" s="3">
        <v>45234</v>
      </c>
      <c r="G366" s="4">
        <v>228</v>
      </c>
      <c r="H366" s="4">
        <v>2</v>
      </c>
      <c r="I366" s="2" t="s">
        <v>30</v>
      </c>
      <c r="J366" s="2" t="s">
        <v>25</v>
      </c>
      <c r="K366" s="4">
        <v>2</v>
      </c>
      <c r="L366" s="4">
        <v>139.55000000000001</v>
      </c>
      <c r="M366" s="4">
        <v>279.10000000000002</v>
      </c>
      <c r="N366" s="2" t="s">
        <v>43</v>
      </c>
    </row>
    <row r="367" spans="1:14" ht="15" x14ac:dyDescent="0.25">
      <c r="A367" s="2" t="s">
        <v>412</v>
      </c>
      <c r="B367" s="2" t="s">
        <v>41</v>
      </c>
      <c r="C367" s="2" t="s">
        <v>76</v>
      </c>
      <c r="D367" s="2" t="s">
        <v>23</v>
      </c>
      <c r="E367" s="3">
        <v>45086</v>
      </c>
      <c r="F367" s="3">
        <v>45092</v>
      </c>
      <c r="G367" s="4">
        <v>674</v>
      </c>
      <c r="H367" s="4">
        <v>6</v>
      </c>
      <c r="I367" s="2" t="s">
        <v>18</v>
      </c>
      <c r="J367" s="2" t="s">
        <v>39</v>
      </c>
      <c r="K367" s="4">
        <v>3</v>
      </c>
      <c r="L367" s="4">
        <v>238.25</v>
      </c>
      <c r="M367" s="4">
        <v>714.75</v>
      </c>
      <c r="N367" s="2" t="s">
        <v>43</v>
      </c>
    </row>
    <row r="368" spans="1:14" ht="15" x14ac:dyDescent="0.25">
      <c r="A368" s="2" t="s">
        <v>413</v>
      </c>
      <c r="B368" s="2" t="s">
        <v>33</v>
      </c>
      <c r="C368" s="2" t="s">
        <v>29</v>
      </c>
      <c r="D368" s="2" t="s">
        <v>23</v>
      </c>
      <c r="E368" s="3">
        <v>45261</v>
      </c>
      <c r="F368" s="3">
        <v>45262</v>
      </c>
      <c r="G368" s="4">
        <v>208</v>
      </c>
      <c r="H368" s="4">
        <v>1</v>
      </c>
      <c r="I368" s="2" t="s">
        <v>30</v>
      </c>
      <c r="J368" s="2" t="s">
        <v>25</v>
      </c>
      <c r="K368" s="4">
        <v>2</v>
      </c>
      <c r="L368" s="4">
        <v>387.92</v>
      </c>
      <c r="M368" s="4">
        <v>775.84</v>
      </c>
      <c r="N368" s="2" t="s">
        <v>43</v>
      </c>
    </row>
    <row r="369" spans="1:14" ht="15" x14ac:dyDescent="0.25">
      <c r="A369" s="2" t="s">
        <v>414</v>
      </c>
      <c r="B369" s="2" t="s">
        <v>28</v>
      </c>
      <c r="C369" s="2" t="s">
        <v>16</v>
      </c>
      <c r="D369" s="2" t="s">
        <v>23</v>
      </c>
      <c r="E369" s="3">
        <v>45190</v>
      </c>
      <c r="F369" s="3">
        <v>45193</v>
      </c>
      <c r="G369" s="4">
        <v>986</v>
      </c>
      <c r="H369" s="4">
        <v>3</v>
      </c>
      <c r="I369" s="2" t="s">
        <v>63</v>
      </c>
      <c r="J369" s="2" t="s">
        <v>39</v>
      </c>
      <c r="K369" s="4">
        <v>4</v>
      </c>
      <c r="L369" s="4">
        <v>95.62</v>
      </c>
      <c r="M369" s="4">
        <v>382.48</v>
      </c>
      <c r="N369" s="2" t="s">
        <v>20</v>
      </c>
    </row>
    <row r="370" spans="1:14" ht="15" x14ac:dyDescent="0.25">
      <c r="A370" s="2" t="s">
        <v>415</v>
      </c>
      <c r="B370" s="2" t="s">
        <v>33</v>
      </c>
      <c r="C370" s="2" t="s">
        <v>76</v>
      </c>
      <c r="D370" s="2" t="s">
        <v>54</v>
      </c>
      <c r="E370" s="3">
        <v>45149</v>
      </c>
      <c r="F370" s="3">
        <v>45151</v>
      </c>
      <c r="G370" s="4">
        <v>632</v>
      </c>
      <c r="H370" s="4">
        <v>2</v>
      </c>
      <c r="I370" s="2" t="s">
        <v>63</v>
      </c>
      <c r="J370" s="2" t="s">
        <v>25</v>
      </c>
      <c r="K370" s="4">
        <v>3</v>
      </c>
      <c r="L370" s="4">
        <v>175.03</v>
      </c>
      <c r="M370" s="4">
        <v>525.09</v>
      </c>
      <c r="N370" s="2" t="s">
        <v>31</v>
      </c>
    </row>
    <row r="371" spans="1:14" ht="15" x14ac:dyDescent="0.25">
      <c r="A371" s="2" t="s">
        <v>416</v>
      </c>
      <c r="B371" s="2" t="s">
        <v>41</v>
      </c>
      <c r="C371" s="2" t="s">
        <v>34</v>
      </c>
      <c r="D371" s="2" t="s">
        <v>23</v>
      </c>
      <c r="E371" s="3">
        <v>45273</v>
      </c>
      <c r="F371" s="3">
        <v>45280</v>
      </c>
      <c r="G371" s="4">
        <v>769</v>
      </c>
      <c r="H371" s="4">
        <v>7</v>
      </c>
      <c r="I371" s="2" t="s">
        <v>51</v>
      </c>
      <c r="J371" s="2" t="s">
        <v>49</v>
      </c>
      <c r="K371" s="4">
        <v>3</v>
      </c>
      <c r="L371" s="4">
        <v>174.34</v>
      </c>
      <c r="M371" s="4">
        <v>523.02</v>
      </c>
      <c r="N371" s="2" t="s">
        <v>20</v>
      </c>
    </row>
    <row r="372" spans="1:14" ht="15" x14ac:dyDescent="0.25">
      <c r="A372" s="2" t="s">
        <v>417</v>
      </c>
      <c r="B372" s="2" t="s">
        <v>22</v>
      </c>
      <c r="C372" s="2" t="s">
        <v>46</v>
      </c>
      <c r="D372" s="2" t="s">
        <v>17</v>
      </c>
      <c r="E372" s="3">
        <v>45071</v>
      </c>
      <c r="F372" s="3">
        <v>45075</v>
      </c>
      <c r="G372" s="4">
        <v>368</v>
      </c>
      <c r="H372" s="4">
        <v>4</v>
      </c>
      <c r="I372" s="2" t="s">
        <v>24</v>
      </c>
      <c r="J372" s="2" t="s">
        <v>25</v>
      </c>
      <c r="K372" s="4">
        <v>3</v>
      </c>
      <c r="L372" s="4">
        <v>244.41</v>
      </c>
      <c r="M372" s="4">
        <v>733.23</v>
      </c>
      <c r="N372" s="2" t="s">
        <v>43</v>
      </c>
    </row>
    <row r="373" spans="1:14" ht="15" x14ac:dyDescent="0.25">
      <c r="A373" s="2" t="s">
        <v>418</v>
      </c>
      <c r="B373" s="2" t="s">
        <v>15</v>
      </c>
      <c r="C373" s="2" t="s">
        <v>76</v>
      </c>
      <c r="D373" s="2" t="s">
        <v>47</v>
      </c>
      <c r="E373" s="3">
        <v>45275</v>
      </c>
      <c r="F373" s="3">
        <v>45283</v>
      </c>
      <c r="G373" s="4">
        <v>261</v>
      </c>
      <c r="H373" s="4">
        <v>8</v>
      </c>
      <c r="I373" s="2" t="s">
        <v>30</v>
      </c>
      <c r="J373" s="2" t="s">
        <v>25</v>
      </c>
      <c r="K373" s="4">
        <v>3</v>
      </c>
      <c r="L373" s="4">
        <v>491.17</v>
      </c>
      <c r="M373" s="4">
        <v>1473.51</v>
      </c>
      <c r="N373" s="2" t="s">
        <v>20</v>
      </c>
    </row>
    <row r="374" spans="1:14" ht="15" x14ac:dyDescent="0.25">
      <c r="A374" s="2" t="s">
        <v>419</v>
      </c>
      <c r="B374" s="2" t="s">
        <v>28</v>
      </c>
      <c r="C374" s="2" t="s">
        <v>37</v>
      </c>
      <c r="D374" s="2" t="s">
        <v>35</v>
      </c>
      <c r="E374" s="3">
        <v>44976</v>
      </c>
      <c r="F374" s="3">
        <v>44982</v>
      </c>
      <c r="G374" s="4">
        <v>359</v>
      </c>
      <c r="H374" s="4">
        <v>6</v>
      </c>
      <c r="I374" s="2" t="s">
        <v>30</v>
      </c>
      <c r="J374" s="2" t="s">
        <v>57</v>
      </c>
      <c r="K374" s="4">
        <v>4</v>
      </c>
      <c r="L374" s="4">
        <v>80.38</v>
      </c>
      <c r="M374" s="4">
        <v>321.52</v>
      </c>
      <c r="N374" s="2" t="s">
        <v>20</v>
      </c>
    </row>
    <row r="375" spans="1:14" ht="15" x14ac:dyDescent="0.25">
      <c r="A375" s="2" t="s">
        <v>420</v>
      </c>
      <c r="B375" s="2" t="s">
        <v>22</v>
      </c>
      <c r="C375" s="2" t="s">
        <v>37</v>
      </c>
      <c r="D375" s="2" t="s">
        <v>23</v>
      </c>
      <c r="E375" s="3">
        <v>45103</v>
      </c>
      <c r="F375" s="3">
        <v>45107</v>
      </c>
      <c r="G375" s="4">
        <v>201</v>
      </c>
      <c r="H375" s="4">
        <v>4</v>
      </c>
      <c r="I375" s="2" t="s">
        <v>42</v>
      </c>
      <c r="J375" s="2" t="s">
        <v>25</v>
      </c>
      <c r="K375" s="4">
        <v>3</v>
      </c>
      <c r="L375" s="4">
        <v>283.42</v>
      </c>
      <c r="M375" s="4">
        <v>850.26</v>
      </c>
      <c r="N375" s="2" t="s">
        <v>26</v>
      </c>
    </row>
    <row r="376" spans="1:14" ht="15" x14ac:dyDescent="0.25">
      <c r="A376" s="2" t="s">
        <v>421</v>
      </c>
      <c r="B376" s="2" t="s">
        <v>33</v>
      </c>
      <c r="C376" s="2" t="s">
        <v>37</v>
      </c>
      <c r="D376" s="2" t="s">
        <v>23</v>
      </c>
      <c r="E376" s="3">
        <v>45025</v>
      </c>
      <c r="F376" s="3">
        <v>45030</v>
      </c>
      <c r="G376" s="4">
        <v>605</v>
      </c>
      <c r="H376" s="4">
        <v>5</v>
      </c>
      <c r="I376" s="2" t="s">
        <v>42</v>
      </c>
      <c r="J376" s="2" t="s">
        <v>57</v>
      </c>
      <c r="K376" s="4">
        <v>1</v>
      </c>
      <c r="L376" s="4">
        <v>130.71</v>
      </c>
      <c r="M376" s="4">
        <v>130.71</v>
      </c>
      <c r="N376" s="2" t="s">
        <v>31</v>
      </c>
    </row>
    <row r="377" spans="1:14" ht="15" x14ac:dyDescent="0.25">
      <c r="A377" s="2" t="s">
        <v>422</v>
      </c>
      <c r="B377" s="2" t="s">
        <v>33</v>
      </c>
      <c r="C377" s="2" t="s">
        <v>76</v>
      </c>
      <c r="D377" s="2" t="s">
        <v>54</v>
      </c>
      <c r="E377" s="3">
        <v>45124</v>
      </c>
      <c r="F377" s="3">
        <v>45133</v>
      </c>
      <c r="G377" s="4">
        <v>834</v>
      </c>
      <c r="H377" s="4">
        <v>9</v>
      </c>
      <c r="I377" s="2" t="s">
        <v>51</v>
      </c>
      <c r="J377" s="2" t="s">
        <v>57</v>
      </c>
      <c r="K377" s="4">
        <v>3</v>
      </c>
      <c r="L377" s="4">
        <v>486.8</v>
      </c>
      <c r="M377" s="4">
        <v>1460.4</v>
      </c>
      <c r="N377" s="2" t="s">
        <v>43</v>
      </c>
    </row>
    <row r="378" spans="1:14" ht="15" x14ac:dyDescent="0.25">
      <c r="A378" s="2" t="s">
        <v>423</v>
      </c>
      <c r="B378" s="2" t="s">
        <v>75</v>
      </c>
      <c r="C378" s="2" t="s">
        <v>61</v>
      </c>
      <c r="D378" s="2" t="s">
        <v>47</v>
      </c>
      <c r="E378" s="3">
        <v>44986</v>
      </c>
      <c r="F378" s="3">
        <v>44993</v>
      </c>
      <c r="G378" s="4">
        <v>670</v>
      </c>
      <c r="H378" s="4">
        <v>7</v>
      </c>
      <c r="I378" s="2" t="s">
        <v>51</v>
      </c>
      <c r="J378" s="2" t="s">
        <v>39</v>
      </c>
      <c r="K378" s="4">
        <v>4</v>
      </c>
      <c r="L378" s="4">
        <v>100.99</v>
      </c>
      <c r="M378" s="4">
        <v>403.96</v>
      </c>
      <c r="N378" s="2" t="s">
        <v>26</v>
      </c>
    </row>
    <row r="379" spans="1:14" ht="15" x14ac:dyDescent="0.25">
      <c r="A379" s="2" t="s">
        <v>424</v>
      </c>
      <c r="B379" s="2" t="s">
        <v>75</v>
      </c>
      <c r="C379" s="2" t="s">
        <v>76</v>
      </c>
      <c r="D379" s="2" t="s">
        <v>35</v>
      </c>
      <c r="E379" s="3">
        <v>45234</v>
      </c>
      <c r="F379" s="3">
        <v>45243</v>
      </c>
      <c r="G379" s="4">
        <v>346</v>
      </c>
      <c r="H379" s="4">
        <v>9</v>
      </c>
      <c r="I379" s="2" t="s">
        <v>24</v>
      </c>
      <c r="J379" s="2" t="s">
        <v>49</v>
      </c>
      <c r="K379" s="4">
        <v>3</v>
      </c>
      <c r="L379" s="4">
        <v>231.62</v>
      </c>
      <c r="M379" s="4">
        <v>694.86</v>
      </c>
      <c r="N379" s="2" t="s">
        <v>20</v>
      </c>
    </row>
    <row r="380" spans="1:14" ht="15" x14ac:dyDescent="0.25">
      <c r="A380" s="2" t="s">
        <v>425</v>
      </c>
      <c r="B380" s="2" t="s">
        <v>33</v>
      </c>
      <c r="C380" s="2" t="s">
        <v>46</v>
      </c>
      <c r="D380" s="2" t="s">
        <v>17</v>
      </c>
      <c r="E380" s="3">
        <v>45235</v>
      </c>
      <c r="F380" s="3">
        <v>45242</v>
      </c>
      <c r="G380" s="4">
        <v>739</v>
      </c>
      <c r="H380" s="4">
        <v>7</v>
      </c>
      <c r="I380" s="2" t="s">
        <v>63</v>
      </c>
      <c r="J380" s="2" t="s">
        <v>49</v>
      </c>
      <c r="K380" s="4">
        <v>1</v>
      </c>
      <c r="L380" s="4">
        <v>382.05</v>
      </c>
      <c r="M380" s="4">
        <v>382.05</v>
      </c>
      <c r="N380" s="2" t="s">
        <v>26</v>
      </c>
    </row>
    <row r="381" spans="1:14" ht="15" x14ac:dyDescent="0.25">
      <c r="A381" s="2" t="s">
        <v>426</v>
      </c>
      <c r="B381" s="2" t="s">
        <v>53</v>
      </c>
      <c r="C381" s="2" t="s">
        <v>29</v>
      </c>
      <c r="D381" s="2" t="s">
        <v>23</v>
      </c>
      <c r="E381" s="3">
        <v>45275</v>
      </c>
      <c r="F381" s="3">
        <v>45276</v>
      </c>
      <c r="G381" s="4">
        <v>894</v>
      </c>
      <c r="H381" s="4">
        <v>1</v>
      </c>
      <c r="I381" s="2" t="s">
        <v>30</v>
      </c>
      <c r="J381" s="2" t="s">
        <v>39</v>
      </c>
      <c r="K381" s="4">
        <v>4</v>
      </c>
      <c r="L381" s="4">
        <v>367.05</v>
      </c>
      <c r="M381" s="4">
        <v>1468.2</v>
      </c>
      <c r="N381" s="2" t="s">
        <v>20</v>
      </c>
    </row>
    <row r="382" spans="1:14" ht="15" x14ac:dyDescent="0.25">
      <c r="A382" s="2" t="s">
        <v>427</v>
      </c>
      <c r="B382" s="2" t="s">
        <v>75</v>
      </c>
      <c r="C382" s="2" t="s">
        <v>61</v>
      </c>
      <c r="D382" s="2" t="s">
        <v>47</v>
      </c>
      <c r="E382" s="3">
        <v>44983</v>
      </c>
      <c r="F382" s="3">
        <v>44991</v>
      </c>
      <c r="G382" s="4">
        <v>936</v>
      </c>
      <c r="H382" s="4">
        <v>8</v>
      </c>
      <c r="I382" s="2" t="s">
        <v>24</v>
      </c>
      <c r="J382" s="2" t="s">
        <v>19</v>
      </c>
      <c r="K382" s="4">
        <v>4</v>
      </c>
      <c r="L382" s="4">
        <v>240.23</v>
      </c>
      <c r="M382" s="4">
        <v>960.92</v>
      </c>
      <c r="N382" s="2" t="s">
        <v>31</v>
      </c>
    </row>
    <row r="383" spans="1:14" ht="15" x14ac:dyDescent="0.25">
      <c r="A383" s="2" t="s">
        <v>428</v>
      </c>
      <c r="B383" s="2" t="s">
        <v>45</v>
      </c>
      <c r="C383" s="2" t="s">
        <v>16</v>
      </c>
      <c r="D383" s="2" t="s">
        <v>47</v>
      </c>
      <c r="E383" s="3">
        <v>45154</v>
      </c>
      <c r="F383" s="3">
        <v>45158</v>
      </c>
      <c r="G383" s="4">
        <v>636</v>
      </c>
      <c r="H383" s="4">
        <v>4</v>
      </c>
      <c r="I383" s="2" t="s">
        <v>63</v>
      </c>
      <c r="J383" s="2" t="s">
        <v>57</v>
      </c>
      <c r="K383" s="4">
        <v>1</v>
      </c>
      <c r="L383" s="4">
        <v>205.94</v>
      </c>
      <c r="M383" s="4">
        <v>205.94</v>
      </c>
      <c r="N383" s="2" t="s">
        <v>20</v>
      </c>
    </row>
    <row r="384" spans="1:14" ht="15" x14ac:dyDescent="0.25">
      <c r="A384" s="2" t="s">
        <v>429</v>
      </c>
      <c r="B384" s="2" t="s">
        <v>53</v>
      </c>
      <c r="C384" s="2" t="s">
        <v>46</v>
      </c>
      <c r="D384" s="2" t="s">
        <v>54</v>
      </c>
      <c r="E384" s="3">
        <v>45100</v>
      </c>
      <c r="F384" s="3">
        <v>45103</v>
      </c>
      <c r="G384" s="4">
        <v>230</v>
      </c>
      <c r="H384" s="4">
        <v>3</v>
      </c>
      <c r="I384" s="2" t="s">
        <v>24</v>
      </c>
      <c r="J384" s="2" t="s">
        <v>25</v>
      </c>
      <c r="K384" s="4">
        <v>1</v>
      </c>
      <c r="L384" s="4">
        <v>228.93</v>
      </c>
      <c r="M384" s="4">
        <v>228.93</v>
      </c>
      <c r="N384" s="2" t="s">
        <v>26</v>
      </c>
    </row>
    <row r="385" spans="1:14" ht="15" x14ac:dyDescent="0.25">
      <c r="A385" s="2" t="s">
        <v>430</v>
      </c>
      <c r="B385" s="2" t="s">
        <v>28</v>
      </c>
      <c r="C385" s="2" t="s">
        <v>76</v>
      </c>
      <c r="D385" s="2" t="s">
        <v>23</v>
      </c>
      <c r="E385" s="3">
        <v>45052</v>
      </c>
      <c r="F385" s="3">
        <v>45059</v>
      </c>
      <c r="G385" s="4">
        <v>452</v>
      </c>
      <c r="H385" s="4">
        <v>7</v>
      </c>
      <c r="I385" s="2" t="s">
        <v>30</v>
      </c>
      <c r="J385" s="2" t="s">
        <v>19</v>
      </c>
      <c r="K385" s="4">
        <v>1</v>
      </c>
      <c r="L385" s="4">
        <v>168.92</v>
      </c>
      <c r="M385" s="4">
        <v>168.92</v>
      </c>
      <c r="N385" s="2" t="s">
        <v>43</v>
      </c>
    </row>
    <row r="386" spans="1:14" ht="15" x14ac:dyDescent="0.25">
      <c r="A386" s="2" t="s">
        <v>431</v>
      </c>
      <c r="B386" s="2" t="s">
        <v>33</v>
      </c>
      <c r="C386" s="2" t="s">
        <v>37</v>
      </c>
      <c r="D386" s="2" t="s">
        <v>23</v>
      </c>
      <c r="E386" s="3">
        <v>45055</v>
      </c>
      <c r="F386" s="3">
        <v>45058</v>
      </c>
      <c r="G386" s="4">
        <v>295</v>
      </c>
      <c r="H386" s="4">
        <v>3</v>
      </c>
      <c r="I386" s="2" t="s">
        <v>42</v>
      </c>
      <c r="J386" s="2" t="s">
        <v>49</v>
      </c>
      <c r="K386" s="4">
        <v>1</v>
      </c>
      <c r="L386" s="4">
        <v>142.4</v>
      </c>
      <c r="M386" s="4">
        <v>142.4</v>
      </c>
      <c r="N386" s="2" t="s">
        <v>43</v>
      </c>
    </row>
    <row r="387" spans="1:14" ht="15" x14ac:dyDescent="0.25">
      <c r="A387" s="2" t="s">
        <v>432</v>
      </c>
      <c r="B387" s="2" t="s">
        <v>53</v>
      </c>
      <c r="C387" s="2" t="s">
        <v>37</v>
      </c>
      <c r="D387" s="2" t="s">
        <v>17</v>
      </c>
      <c r="E387" s="3">
        <v>45077</v>
      </c>
      <c r="F387" s="3">
        <v>45085</v>
      </c>
      <c r="G387" s="4">
        <v>892</v>
      </c>
      <c r="H387" s="4">
        <v>8</v>
      </c>
      <c r="I387" s="2" t="s">
        <v>18</v>
      </c>
      <c r="J387" s="2" t="s">
        <v>19</v>
      </c>
      <c r="K387" s="4">
        <v>1</v>
      </c>
      <c r="L387" s="4">
        <v>267.37</v>
      </c>
      <c r="M387" s="4">
        <v>267.37</v>
      </c>
      <c r="N387" s="2" t="s">
        <v>26</v>
      </c>
    </row>
    <row r="388" spans="1:14" ht="15" x14ac:dyDescent="0.25">
      <c r="A388" s="2" t="s">
        <v>433</v>
      </c>
      <c r="B388" s="2" t="s">
        <v>75</v>
      </c>
      <c r="C388" s="2" t="s">
        <v>16</v>
      </c>
      <c r="D388" s="2" t="s">
        <v>17</v>
      </c>
      <c r="E388" s="3">
        <v>45184</v>
      </c>
      <c r="F388" s="3">
        <v>45190</v>
      </c>
      <c r="G388" s="4">
        <v>765</v>
      </c>
      <c r="H388" s="4">
        <v>6</v>
      </c>
      <c r="I388" s="2" t="s">
        <v>18</v>
      </c>
      <c r="J388" s="2" t="s">
        <v>25</v>
      </c>
      <c r="K388" s="4">
        <v>4</v>
      </c>
      <c r="L388" s="4">
        <v>170.84</v>
      </c>
      <c r="M388" s="4">
        <v>683.36</v>
      </c>
      <c r="N388" s="2" t="s">
        <v>26</v>
      </c>
    </row>
    <row r="389" spans="1:14" ht="15" x14ac:dyDescent="0.25">
      <c r="A389" s="2" t="s">
        <v>434</v>
      </c>
      <c r="B389" s="2" t="s">
        <v>45</v>
      </c>
      <c r="C389" s="2" t="s">
        <v>29</v>
      </c>
      <c r="D389" s="2" t="s">
        <v>47</v>
      </c>
      <c r="E389" s="3">
        <v>45145</v>
      </c>
      <c r="F389" s="3">
        <v>45150</v>
      </c>
      <c r="G389" s="4">
        <v>481</v>
      </c>
      <c r="H389" s="4">
        <v>5</v>
      </c>
      <c r="I389" s="2" t="s">
        <v>30</v>
      </c>
      <c r="J389" s="2" t="s">
        <v>39</v>
      </c>
      <c r="K389" s="4">
        <v>4</v>
      </c>
      <c r="L389" s="4">
        <v>179.36</v>
      </c>
      <c r="M389" s="4">
        <v>717.44</v>
      </c>
      <c r="N389" s="2" t="s">
        <v>20</v>
      </c>
    </row>
    <row r="390" spans="1:14" ht="15" x14ac:dyDescent="0.25">
      <c r="A390" s="2" t="s">
        <v>435</v>
      </c>
      <c r="B390" s="2" t="s">
        <v>45</v>
      </c>
      <c r="C390" s="2" t="s">
        <v>37</v>
      </c>
      <c r="D390" s="2" t="s">
        <v>35</v>
      </c>
      <c r="E390" s="3">
        <v>45094</v>
      </c>
      <c r="F390" s="3">
        <v>45098</v>
      </c>
      <c r="G390" s="4">
        <v>744</v>
      </c>
      <c r="H390" s="4">
        <v>4</v>
      </c>
      <c r="I390" s="2" t="s">
        <v>51</v>
      </c>
      <c r="J390" s="2" t="s">
        <v>49</v>
      </c>
      <c r="K390" s="4">
        <v>3</v>
      </c>
      <c r="L390" s="4">
        <v>345.54</v>
      </c>
      <c r="M390" s="4">
        <v>1036.6199999999999</v>
      </c>
      <c r="N390" s="2" t="s">
        <v>43</v>
      </c>
    </row>
    <row r="391" spans="1:14" ht="15" x14ac:dyDescent="0.25">
      <c r="A391" s="2" t="s">
        <v>436</v>
      </c>
      <c r="B391" s="2" t="s">
        <v>75</v>
      </c>
      <c r="C391" s="2" t="s">
        <v>46</v>
      </c>
      <c r="D391" s="2" t="s">
        <v>47</v>
      </c>
      <c r="E391" s="3">
        <v>44954</v>
      </c>
      <c r="F391" s="3">
        <v>44962</v>
      </c>
      <c r="G391" s="4">
        <v>326</v>
      </c>
      <c r="H391" s="4">
        <v>8</v>
      </c>
      <c r="I391" s="2" t="s">
        <v>63</v>
      </c>
      <c r="J391" s="2" t="s">
        <v>39</v>
      </c>
      <c r="K391" s="4">
        <v>3</v>
      </c>
      <c r="L391" s="4">
        <v>485.84</v>
      </c>
      <c r="M391" s="4">
        <v>1457.52</v>
      </c>
      <c r="N391" s="2" t="s">
        <v>26</v>
      </c>
    </row>
    <row r="392" spans="1:14" ht="15" x14ac:dyDescent="0.25">
      <c r="A392" s="2" t="s">
        <v>437</v>
      </c>
      <c r="B392" s="2" t="s">
        <v>22</v>
      </c>
      <c r="C392" s="2" t="s">
        <v>34</v>
      </c>
      <c r="D392" s="2" t="s">
        <v>47</v>
      </c>
      <c r="E392" s="3">
        <v>44955</v>
      </c>
      <c r="F392" s="3">
        <v>44963</v>
      </c>
      <c r="G392" s="4">
        <v>800</v>
      </c>
      <c r="H392" s="4">
        <v>8</v>
      </c>
      <c r="I392" s="2" t="s">
        <v>24</v>
      </c>
      <c r="J392" s="2" t="s">
        <v>39</v>
      </c>
      <c r="K392" s="4">
        <v>2</v>
      </c>
      <c r="L392" s="4">
        <v>321.64</v>
      </c>
      <c r="M392" s="4">
        <v>643.28</v>
      </c>
      <c r="N392" s="2" t="s">
        <v>20</v>
      </c>
    </row>
    <row r="393" spans="1:14" ht="15" x14ac:dyDescent="0.25">
      <c r="A393" s="2" t="s">
        <v>438</v>
      </c>
      <c r="B393" s="2" t="s">
        <v>15</v>
      </c>
      <c r="C393" s="2" t="s">
        <v>16</v>
      </c>
      <c r="D393" s="2" t="s">
        <v>54</v>
      </c>
      <c r="E393" s="3">
        <v>44927</v>
      </c>
      <c r="F393" s="3">
        <v>44928</v>
      </c>
      <c r="G393" s="4">
        <v>575</v>
      </c>
      <c r="H393" s="4">
        <v>1</v>
      </c>
      <c r="I393" s="2" t="s">
        <v>24</v>
      </c>
      <c r="J393" s="2" t="s">
        <v>39</v>
      </c>
      <c r="K393" s="4">
        <v>3</v>
      </c>
      <c r="L393" s="4">
        <v>84.64</v>
      </c>
      <c r="M393" s="4">
        <v>253.92</v>
      </c>
      <c r="N393" s="2" t="s">
        <v>26</v>
      </c>
    </row>
    <row r="394" spans="1:14" ht="15" x14ac:dyDescent="0.25">
      <c r="A394" s="2" t="s">
        <v>439</v>
      </c>
      <c r="B394" s="2" t="s">
        <v>28</v>
      </c>
      <c r="C394" s="2" t="s">
        <v>29</v>
      </c>
      <c r="D394" s="2" t="s">
        <v>23</v>
      </c>
      <c r="E394" s="3">
        <v>45280</v>
      </c>
      <c r="F394" s="3">
        <v>45289</v>
      </c>
      <c r="G394" s="4">
        <v>576</v>
      </c>
      <c r="H394" s="4">
        <v>9</v>
      </c>
      <c r="I394" s="2" t="s">
        <v>42</v>
      </c>
      <c r="J394" s="2" t="s">
        <v>49</v>
      </c>
      <c r="K394" s="4">
        <v>3</v>
      </c>
      <c r="L394" s="4">
        <v>84.01</v>
      </c>
      <c r="M394" s="4">
        <v>252.03</v>
      </c>
      <c r="N394" s="2" t="s">
        <v>43</v>
      </c>
    </row>
    <row r="395" spans="1:14" ht="15" x14ac:dyDescent="0.25">
      <c r="A395" s="2" t="s">
        <v>440</v>
      </c>
      <c r="B395" s="2" t="s">
        <v>28</v>
      </c>
      <c r="C395" s="2" t="s">
        <v>61</v>
      </c>
      <c r="D395" s="2" t="s">
        <v>17</v>
      </c>
      <c r="E395" s="3">
        <v>44928</v>
      </c>
      <c r="F395" s="3">
        <v>44933</v>
      </c>
      <c r="G395" s="4">
        <v>364</v>
      </c>
      <c r="H395" s="4">
        <v>5</v>
      </c>
      <c r="I395" s="2" t="s">
        <v>30</v>
      </c>
      <c r="J395" s="2" t="s">
        <v>25</v>
      </c>
      <c r="K395" s="4">
        <v>1</v>
      </c>
      <c r="L395" s="4">
        <v>478.14</v>
      </c>
      <c r="M395" s="4">
        <v>478.14</v>
      </c>
      <c r="N395" s="2" t="s">
        <v>20</v>
      </c>
    </row>
    <row r="396" spans="1:14" ht="15" x14ac:dyDescent="0.25">
      <c r="A396" s="2" t="s">
        <v>441</v>
      </c>
      <c r="B396" s="2" t="s">
        <v>75</v>
      </c>
      <c r="C396" s="2" t="s">
        <v>37</v>
      </c>
      <c r="D396" s="2" t="s">
        <v>47</v>
      </c>
      <c r="E396" s="3">
        <v>44964</v>
      </c>
      <c r="F396" s="3">
        <v>44968</v>
      </c>
      <c r="G396" s="4">
        <v>471</v>
      </c>
      <c r="H396" s="4">
        <v>4</v>
      </c>
      <c r="I396" s="2" t="s">
        <v>30</v>
      </c>
      <c r="J396" s="2" t="s">
        <v>49</v>
      </c>
      <c r="K396" s="4">
        <v>1</v>
      </c>
      <c r="L396" s="4">
        <v>183.78</v>
      </c>
      <c r="M396" s="4">
        <v>183.78</v>
      </c>
      <c r="N396" s="2" t="s">
        <v>26</v>
      </c>
    </row>
    <row r="397" spans="1:14" ht="15" x14ac:dyDescent="0.25">
      <c r="A397" s="2" t="s">
        <v>442</v>
      </c>
      <c r="B397" s="2" t="s">
        <v>41</v>
      </c>
      <c r="C397" s="2" t="s">
        <v>46</v>
      </c>
      <c r="D397" s="2" t="s">
        <v>23</v>
      </c>
      <c r="E397" s="3">
        <v>45041</v>
      </c>
      <c r="F397" s="3">
        <v>45047</v>
      </c>
      <c r="G397" s="4">
        <v>585</v>
      </c>
      <c r="H397" s="4">
        <v>6</v>
      </c>
      <c r="I397" s="2" t="s">
        <v>24</v>
      </c>
      <c r="J397" s="2" t="s">
        <v>19</v>
      </c>
      <c r="K397" s="4">
        <v>3</v>
      </c>
      <c r="L397" s="4">
        <v>91.43</v>
      </c>
      <c r="M397" s="4">
        <v>274.29000000000002</v>
      </c>
      <c r="N397" s="2" t="s">
        <v>43</v>
      </c>
    </row>
    <row r="398" spans="1:14" ht="15" x14ac:dyDescent="0.25">
      <c r="A398" s="2" t="s">
        <v>443</v>
      </c>
      <c r="B398" s="2" t="s">
        <v>45</v>
      </c>
      <c r="C398" s="2" t="s">
        <v>16</v>
      </c>
      <c r="D398" s="2" t="s">
        <v>23</v>
      </c>
      <c r="E398" s="3">
        <v>45221</v>
      </c>
      <c r="F398" s="3">
        <v>45227</v>
      </c>
      <c r="G398" s="4">
        <v>533</v>
      </c>
      <c r="H398" s="4">
        <v>6</v>
      </c>
      <c r="I398" s="2" t="s">
        <v>30</v>
      </c>
      <c r="J398" s="2" t="s">
        <v>49</v>
      </c>
      <c r="K398" s="4">
        <v>2</v>
      </c>
      <c r="L398" s="4">
        <v>319.57</v>
      </c>
      <c r="M398" s="4">
        <v>639.14</v>
      </c>
      <c r="N398" s="2" t="s">
        <v>26</v>
      </c>
    </row>
    <row r="399" spans="1:14" ht="15" x14ac:dyDescent="0.25">
      <c r="A399" s="2" t="s">
        <v>444</v>
      </c>
      <c r="B399" s="2" t="s">
        <v>33</v>
      </c>
      <c r="C399" s="2" t="s">
        <v>76</v>
      </c>
      <c r="D399" s="2" t="s">
        <v>35</v>
      </c>
      <c r="E399" s="3">
        <v>45278</v>
      </c>
      <c r="F399" s="3">
        <v>45280</v>
      </c>
      <c r="G399" s="4">
        <v>745</v>
      </c>
      <c r="H399" s="4">
        <v>2</v>
      </c>
      <c r="I399" s="2" t="s">
        <v>51</v>
      </c>
      <c r="J399" s="2" t="s">
        <v>19</v>
      </c>
      <c r="K399" s="4">
        <v>1</v>
      </c>
      <c r="L399" s="4">
        <v>330.64</v>
      </c>
      <c r="M399" s="4">
        <v>330.64</v>
      </c>
      <c r="N399" s="2" t="s">
        <v>26</v>
      </c>
    </row>
    <row r="400" spans="1:14" ht="15" x14ac:dyDescent="0.25">
      <c r="A400" s="2" t="s">
        <v>445</v>
      </c>
      <c r="B400" s="2" t="s">
        <v>15</v>
      </c>
      <c r="C400" s="2" t="s">
        <v>76</v>
      </c>
      <c r="D400" s="2" t="s">
        <v>17</v>
      </c>
      <c r="E400" s="3">
        <v>45215</v>
      </c>
      <c r="F400" s="3">
        <v>45223</v>
      </c>
      <c r="G400" s="4">
        <v>310</v>
      </c>
      <c r="H400" s="4">
        <v>8</v>
      </c>
      <c r="I400" s="2" t="s">
        <v>55</v>
      </c>
      <c r="J400" s="2" t="s">
        <v>39</v>
      </c>
      <c r="K400" s="4">
        <v>3</v>
      </c>
      <c r="L400" s="4">
        <v>341.83</v>
      </c>
      <c r="M400" s="4">
        <v>1025.49</v>
      </c>
      <c r="N400" s="2" t="s">
        <v>26</v>
      </c>
    </row>
    <row r="401" spans="1:14" ht="15" x14ac:dyDescent="0.25">
      <c r="A401" s="2" t="s">
        <v>446</v>
      </c>
      <c r="B401" s="2" t="s">
        <v>33</v>
      </c>
      <c r="C401" s="2" t="s">
        <v>34</v>
      </c>
      <c r="D401" s="2" t="s">
        <v>47</v>
      </c>
      <c r="E401" s="3">
        <v>45179</v>
      </c>
      <c r="F401" s="3">
        <v>45186</v>
      </c>
      <c r="G401" s="4">
        <v>671</v>
      </c>
      <c r="H401" s="4">
        <v>7</v>
      </c>
      <c r="I401" s="2" t="s">
        <v>63</v>
      </c>
      <c r="J401" s="2" t="s">
        <v>57</v>
      </c>
      <c r="K401" s="4">
        <v>3</v>
      </c>
      <c r="L401" s="4">
        <v>170.33</v>
      </c>
      <c r="M401" s="4">
        <v>510.99</v>
      </c>
      <c r="N401" s="2" t="s">
        <v>31</v>
      </c>
    </row>
    <row r="402" spans="1:14" ht="15" x14ac:dyDescent="0.25">
      <c r="A402" s="2" t="s">
        <v>447</v>
      </c>
      <c r="B402" s="2" t="s">
        <v>53</v>
      </c>
      <c r="C402" s="2" t="s">
        <v>61</v>
      </c>
      <c r="D402" s="2" t="s">
        <v>47</v>
      </c>
      <c r="E402" s="3">
        <v>45117</v>
      </c>
      <c r="F402" s="3">
        <v>45118</v>
      </c>
      <c r="G402" s="4">
        <v>476</v>
      </c>
      <c r="H402" s="4">
        <v>1</v>
      </c>
      <c r="I402" s="2" t="s">
        <v>55</v>
      </c>
      <c r="J402" s="2" t="s">
        <v>57</v>
      </c>
      <c r="K402" s="4">
        <v>4</v>
      </c>
      <c r="L402" s="4">
        <v>56.8</v>
      </c>
      <c r="M402" s="4">
        <v>227.2</v>
      </c>
      <c r="N402" s="2" t="s">
        <v>26</v>
      </c>
    </row>
    <row r="403" spans="1:14" ht="15" x14ac:dyDescent="0.25">
      <c r="A403" s="2" t="s">
        <v>448</v>
      </c>
      <c r="B403" s="2" t="s">
        <v>53</v>
      </c>
      <c r="C403" s="2" t="s">
        <v>37</v>
      </c>
      <c r="D403" s="2" t="s">
        <v>47</v>
      </c>
      <c r="E403" s="3">
        <v>44958</v>
      </c>
      <c r="F403" s="3">
        <v>44963</v>
      </c>
      <c r="G403" s="4">
        <v>494</v>
      </c>
      <c r="H403" s="4">
        <v>5</v>
      </c>
      <c r="I403" s="2" t="s">
        <v>24</v>
      </c>
      <c r="J403" s="2" t="s">
        <v>25</v>
      </c>
      <c r="K403" s="4">
        <v>2</v>
      </c>
      <c r="L403" s="4">
        <v>484.26</v>
      </c>
      <c r="M403" s="4">
        <v>968.52</v>
      </c>
      <c r="N403" s="2" t="s">
        <v>20</v>
      </c>
    </row>
    <row r="404" spans="1:14" ht="15" x14ac:dyDescent="0.25">
      <c r="A404" s="2" t="s">
        <v>449</v>
      </c>
      <c r="B404" s="2" t="s">
        <v>45</v>
      </c>
      <c r="C404" s="2" t="s">
        <v>46</v>
      </c>
      <c r="D404" s="2" t="s">
        <v>23</v>
      </c>
      <c r="E404" s="3">
        <v>45276</v>
      </c>
      <c r="F404" s="3">
        <v>45282</v>
      </c>
      <c r="G404" s="4">
        <v>549</v>
      </c>
      <c r="H404" s="4">
        <v>6</v>
      </c>
      <c r="I404" s="2" t="s">
        <v>42</v>
      </c>
      <c r="J404" s="2" t="s">
        <v>19</v>
      </c>
      <c r="K404" s="4">
        <v>4</v>
      </c>
      <c r="L404" s="4">
        <v>162.9</v>
      </c>
      <c r="M404" s="4">
        <v>651.6</v>
      </c>
      <c r="N404" s="2" t="s">
        <v>20</v>
      </c>
    </row>
    <row r="405" spans="1:14" ht="15" x14ac:dyDescent="0.25">
      <c r="A405" s="2" t="s">
        <v>450</v>
      </c>
      <c r="B405" s="2" t="s">
        <v>28</v>
      </c>
      <c r="C405" s="2" t="s">
        <v>16</v>
      </c>
      <c r="D405" s="2" t="s">
        <v>17</v>
      </c>
      <c r="E405" s="3">
        <v>45203</v>
      </c>
      <c r="F405" s="3">
        <v>45207</v>
      </c>
      <c r="G405" s="4">
        <v>463</v>
      </c>
      <c r="H405" s="4">
        <v>4</v>
      </c>
      <c r="I405" s="2" t="s">
        <v>63</v>
      </c>
      <c r="J405" s="2" t="s">
        <v>25</v>
      </c>
      <c r="K405" s="4">
        <v>2</v>
      </c>
      <c r="L405" s="4">
        <v>354.21</v>
      </c>
      <c r="M405" s="4">
        <v>708.42</v>
      </c>
      <c r="N405" s="2" t="s">
        <v>26</v>
      </c>
    </row>
    <row r="406" spans="1:14" ht="15" x14ac:dyDescent="0.25">
      <c r="A406" s="2" t="s">
        <v>451</v>
      </c>
      <c r="B406" s="2" t="s">
        <v>41</v>
      </c>
      <c r="C406" s="2" t="s">
        <v>46</v>
      </c>
      <c r="D406" s="2" t="s">
        <v>47</v>
      </c>
      <c r="E406" s="3">
        <v>45160</v>
      </c>
      <c r="F406" s="3">
        <v>45162</v>
      </c>
      <c r="G406" s="4">
        <v>975</v>
      </c>
      <c r="H406" s="4">
        <v>2</v>
      </c>
      <c r="I406" s="2" t="s">
        <v>18</v>
      </c>
      <c r="J406" s="2" t="s">
        <v>57</v>
      </c>
      <c r="K406" s="4">
        <v>1</v>
      </c>
      <c r="L406" s="4">
        <v>367.98</v>
      </c>
      <c r="M406" s="4">
        <v>367.98</v>
      </c>
      <c r="N406" s="2" t="s">
        <v>31</v>
      </c>
    </row>
    <row r="407" spans="1:14" ht="15" x14ac:dyDescent="0.25">
      <c r="A407" s="2" t="s">
        <v>452</v>
      </c>
      <c r="B407" s="2" t="s">
        <v>33</v>
      </c>
      <c r="C407" s="2" t="s">
        <v>16</v>
      </c>
      <c r="D407" s="2" t="s">
        <v>54</v>
      </c>
      <c r="E407" s="3">
        <v>45204</v>
      </c>
      <c r="F407" s="3">
        <v>45208</v>
      </c>
      <c r="G407" s="4">
        <v>556</v>
      </c>
      <c r="H407" s="4">
        <v>4</v>
      </c>
      <c r="I407" s="2" t="s">
        <v>24</v>
      </c>
      <c r="J407" s="2" t="s">
        <v>25</v>
      </c>
      <c r="K407" s="4">
        <v>2</v>
      </c>
      <c r="L407" s="4">
        <v>324.5</v>
      </c>
      <c r="M407" s="4">
        <v>649</v>
      </c>
      <c r="N407" s="2" t="s">
        <v>20</v>
      </c>
    </row>
    <row r="408" spans="1:14" ht="15" x14ac:dyDescent="0.25">
      <c r="A408" s="2" t="s">
        <v>453</v>
      </c>
      <c r="B408" s="2" t="s">
        <v>15</v>
      </c>
      <c r="C408" s="2" t="s">
        <v>37</v>
      </c>
      <c r="D408" s="2" t="s">
        <v>35</v>
      </c>
      <c r="E408" s="3">
        <v>45191</v>
      </c>
      <c r="F408" s="3">
        <v>45192</v>
      </c>
      <c r="G408" s="4">
        <v>824</v>
      </c>
      <c r="H408" s="4">
        <v>1</v>
      </c>
      <c r="I408" s="2" t="s">
        <v>30</v>
      </c>
      <c r="J408" s="2" t="s">
        <v>19</v>
      </c>
      <c r="K408" s="4">
        <v>3</v>
      </c>
      <c r="L408" s="4">
        <v>190.81</v>
      </c>
      <c r="M408" s="4">
        <v>572.42999999999995</v>
      </c>
      <c r="N408" s="2" t="s">
        <v>20</v>
      </c>
    </row>
    <row r="409" spans="1:14" ht="15" x14ac:dyDescent="0.25">
      <c r="A409" s="2" t="s">
        <v>454</v>
      </c>
      <c r="B409" s="2" t="s">
        <v>33</v>
      </c>
      <c r="C409" s="2" t="s">
        <v>61</v>
      </c>
      <c r="D409" s="2" t="s">
        <v>47</v>
      </c>
      <c r="E409" s="3">
        <v>45159</v>
      </c>
      <c r="F409" s="3">
        <v>45166</v>
      </c>
      <c r="G409" s="4">
        <v>827</v>
      </c>
      <c r="H409" s="4">
        <v>7</v>
      </c>
      <c r="I409" s="2" t="s">
        <v>24</v>
      </c>
      <c r="J409" s="2" t="s">
        <v>25</v>
      </c>
      <c r="K409" s="4">
        <v>3</v>
      </c>
      <c r="L409" s="4">
        <v>171.99</v>
      </c>
      <c r="M409" s="4">
        <v>515.97</v>
      </c>
      <c r="N409" s="2" t="s">
        <v>31</v>
      </c>
    </row>
    <row r="410" spans="1:14" ht="15" x14ac:dyDescent="0.25">
      <c r="A410" s="2" t="s">
        <v>455</v>
      </c>
      <c r="B410" s="2" t="s">
        <v>53</v>
      </c>
      <c r="C410" s="2" t="s">
        <v>76</v>
      </c>
      <c r="D410" s="2" t="s">
        <v>35</v>
      </c>
      <c r="E410" s="3">
        <v>45284</v>
      </c>
      <c r="F410" s="3">
        <v>45286</v>
      </c>
      <c r="G410" s="4">
        <v>325</v>
      </c>
      <c r="H410" s="4">
        <v>2</v>
      </c>
      <c r="I410" s="2" t="s">
        <v>55</v>
      </c>
      <c r="J410" s="2" t="s">
        <v>57</v>
      </c>
      <c r="K410" s="4">
        <v>2</v>
      </c>
      <c r="L410" s="4">
        <v>318.95</v>
      </c>
      <c r="M410" s="4">
        <v>637.9</v>
      </c>
      <c r="N410" s="2" t="s">
        <v>26</v>
      </c>
    </row>
    <row r="411" spans="1:14" ht="15" x14ac:dyDescent="0.25">
      <c r="A411" s="2" t="s">
        <v>456</v>
      </c>
      <c r="B411" s="2" t="s">
        <v>22</v>
      </c>
      <c r="C411" s="2" t="s">
        <v>34</v>
      </c>
      <c r="D411" s="2" t="s">
        <v>54</v>
      </c>
      <c r="E411" s="3">
        <v>45256</v>
      </c>
      <c r="F411" s="3">
        <v>45258</v>
      </c>
      <c r="G411" s="4">
        <v>230</v>
      </c>
      <c r="H411" s="4">
        <v>2</v>
      </c>
      <c r="I411" s="2" t="s">
        <v>55</v>
      </c>
      <c r="J411" s="2" t="s">
        <v>39</v>
      </c>
      <c r="K411" s="4">
        <v>2</v>
      </c>
      <c r="L411" s="4">
        <v>439.74</v>
      </c>
      <c r="M411" s="4">
        <v>879.48</v>
      </c>
      <c r="N411" s="2" t="s">
        <v>31</v>
      </c>
    </row>
    <row r="412" spans="1:14" ht="15" x14ac:dyDescent="0.25">
      <c r="A412" s="2" t="s">
        <v>457</v>
      </c>
      <c r="B412" s="2" t="s">
        <v>45</v>
      </c>
      <c r="C412" s="2" t="s">
        <v>34</v>
      </c>
      <c r="D412" s="2" t="s">
        <v>35</v>
      </c>
      <c r="E412" s="3">
        <v>45163</v>
      </c>
      <c r="F412" s="3">
        <v>45172</v>
      </c>
      <c r="G412" s="4">
        <v>687</v>
      </c>
      <c r="H412" s="4">
        <v>9</v>
      </c>
      <c r="I412" s="2" t="s">
        <v>63</v>
      </c>
      <c r="J412" s="2" t="s">
        <v>19</v>
      </c>
      <c r="K412" s="4">
        <v>2</v>
      </c>
      <c r="L412" s="4">
        <v>476.03</v>
      </c>
      <c r="M412" s="4">
        <v>952.06</v>
      </c>
      <c r="N412" s="2" t="s">
        <v>26</v>
      </c>
    </row>
    <row r="413" spans="1:14" ht="15" x14ac:dyDescent="0.25">
      <c r="A413" s="2" t="s">
        <v>458</v>
      </c>
      <c r="B413" s="2" t="s">
        <v>45</v>
      </c>
      <c r="C413" s="2" t="s">
        <v>61</v>
      </c>
      <c r="D413" s="2" t="s">
        <v>47</v>
      </c>
      <c r="E413" s="3">
        <v>45180</v>
      </c>
      <c r="F413" s="3">
        <v>45185</v>
      </c>
      <c r="G413" s="4">
        <v>575</v>
      </c>
      <c r="H413" s="4">
        <v>5</v>
      </c>
      <c r="I413" s="2" t="s">
        <v>30</v>
      </c>
      <c r="J413" s="2" t="s">
        <v>49</v>
      </c>
      <c r="K413" s="4">
        <v>4</v>
      </c>
      <c r="L413" s="4">
        <v>97.66</v>
      </c>
      <c r="M413" s="4">
        <v>390.64</v>
      </c>
      <c r="N413" s="2" t="s">
        <v>31</v>
      </c>
    </row>
    <row r="414" spans="1:14" ht="15" x14ac:dyDescent="0.25">
      <c r="A414" s="2" t="s">
        <v>459</v>
      </c>
      <c r="B414" s="2" t="s">
        <v>53</v>
      </c>
      <c r="C414" s="2" t="s">
        <v>46</v>
      </c>
      <c r="D414" s="2" t="s">
        <v>47</v>
      </c>
      <c r="E414" s="3">
        <v>44945</v>
      </c>
      <c r="F414" s="3">
        <v>44947</v>
      </c>
      <c r="G414" s="4">
        <v>897</v>
      </c>
      <c r="H414" s="4">
        <v>2</v>
      </c>
      <c r="I414" s="2" t="s">
        <v>30</v>
      </c>
      <c r="J414" s="2" t="s">
        <v>19</v>
      </c>
      <c r="K414" s="4">
        <v>2</v>
      </c>
      <c r="L414" s="4">
        <v>119.67</v>
      </c>
      <c r="M414" s="4">
        <v>239.34</v>
      </c>
      <c r="N414" s="2" t="s">
        <v>31</v>
      </c>
    </row>
    <row r="415" spans="1:14" ht="15" x14ac:dyDescent="0.25">
      <c r="A415" s="2" t="s">
        <v>460</v>
      </c>
      <c r="B415" s="2" t="s">
        <v>75</v>
      </c>
      <c r="C415" s="2" t="s">
        <v>37</v>
      </c>
      <c r="D415" s="2" t="s">
        <v>23</v>
      </c>
      <c r="E415" s="3">
        <v>45171</v>
      </c>
      <c r="F415" s="3">
        <v>45180</v>
      </c>
      <c r="G415" s="4">
        <v>376</v>
      </c>
      <c r="H415" s="4">
        <v>9</v>
      </c>
      <c r="I415" s="2" t="s">
        <v>24</v>
      </c>
      <c r="J415" s="2" t="s">
        <v>49</v>
      </c>
      <c r="K415" s="4">
        <v>1</v>
      </c>
      <c r="L415" s="4">
        <v>475.13</v>
      </c>
      <c r="M415" s="4">
        <v>475.13</v>
      </c>
      <c r="N415" s="2" t="s">
        <v>43</v>
      </c>
    </row>
    <row r="416" spans="1:14" ht="15" x14ac:dyDescent="0.25">
      <c r="A416" s="2" t="s">
        <v>461</v>
      </c>
      <c r="B416" s="2" t="s">
        <v>75</v>
      </c>
      <c r="C416" s="2" t="s">
        <v>29</v>
      </c>
      <c r="D416" s="2" t="s">
        <v>23</v>
      </c>
      <c r="E416" s="3">
        <v>44943</v>
      </c>
      <c r="F416" s="3">
        <v>44952</v>
      </c>
      <c r="G416" s="4">
        <v>255</v>
      </c>
      <c r="H416" s="4">
        <v>9</v>
      </c>
      <c r="I416" s="2" t="s">
        <v>18</v>
      </c>
      <c r="J416" s="2" t="s">
        <v>49</v>
      </c>
      <c r="K416" s="4">
        <v>4</v>
      </c>
      <c r="L416" s="4">
        <v>381.44</v>
      </c>
      <c r="M416" s="4">
        <v>1525.76</v>
      </c>
      <c r="N416" s="2" t="s">
        <v>31</v>
      </c>
    </row>
    <row r="417" spans="1:14" ht="15" x14ac:dyDescent="0.25">
      <c r="A417" s="2" t="s">
        <v>462</v>
      </c>
      <c r="B417" s="2" t="s">
        <v>15</v>
      </c>
      <c r="C417" s="2" t="s">
        <v>37</v>
      </c>
      <c r="D417" s="2" t="s">
        <v>54</v>
      </c>
      <c r="E417" s="3">
        <v>45141</v>
      </c>
      <c r="F417" s="3">
        <v>45142</v>
      </c>
      <c r="G417" s="4">
        <v>859</v>
      </c>
      <c r="H417" s="4">
        <v>1</v>
      </c>
      <c r="I417" s="2" t="s">
        <v>42</v>
      </c>
      <c r="J417" s="2" t="s">
        <v>49</v>
      </c>
      <c r="K417" s="4">
        <v>4</v>
      </c>
      <c r="L417" s="4">
        <v>447.35</v>
      </c>
      <c r="M417" s="4">
        <v>1789.4</v>
      </c>
      <c r="N417" s="2" t="s">
        <v>31</v>
      </c>
    </row>
    <row r="418" spans="1:14" ht="15" x14ac:dyDescent="0.25">
      <c r="A418" s="2" t="s">
        <v>463</v>
      </c>
      <c r="B418" s="2" t="s">
        <v>53</v>
      </c>
      <c r="C418" s="2" t="s">
        <v>29</v>
      </c>
      <c r="D418" s="2" t="s">
        <v>17</v>
      </c>
      <c r="E418" s="3">
        <v>45291</v>
      </c>
      <c r="F418" s="3">
        <v>45294</v>
      </c>
      <c r="G418" s="4">
        <v>317</v>
      </c>
      <c r="H418" s="4">
        <v>3</v>
      </c>
      <c r="I418" s="2" t="s">
        <v>51</v>
      </c>
      <c r="J418" s="2" t="s">
        <v>39</v>
      </c>
      <c r="K418" s="4">
        <v>2</v>
      </c>
      <c r="L418" s="4">
        <v>141.18</v>
      </c>
      <c r="M418" s="4">
        <v>282.36</v>
      </c>
      <c r="N418" s="2" t="s">
        <v>31</v>
      </c>
    </row>
    <row r="419" spans="1:14" ht="15" x14ac:dyDescent="0.25">
      <c r="A419" s="2" t="s">
        <v>464</v>
      </c>
      <c r="B419" s="2" t="s">
        <v>28</v>
      </c>
      <c r="C419" s="2" t="s">
        <v>37</v>
      </c>
      <c r="D419" s="2" t="s">
        <v>35</v>
      </c>
      <c r="E419" s="3">
        <v>45129</v>
      </c>
      <c r="F419" s="3">
        <v>45133</v>
      </c>
      <c r="G419" s="4">
        <v>289</v>
      </c>
      <c r="H419" s="4">
        <v>4</v>
      </c>
      <c r="I419" s="2" t="s">
        <v>51</v>
      </c>
      <c r="J419" s="2" t="s">
        <v>25</v>
      </c>
      <c r="K419" s="4">
        <v>1</v>
      </c>
      <c r="L419" s="4">
        <v>314.41000000000003</v>
      </c>
      <c r="M419" s="4">
        <v>314.41000000000003</v>
      </c>
      <c r="N419" s="2" t="s">
        <v>26</v>
      </c>
    </row>
    <row r="420" spans="1:14" ht="15" x14ac:dyDescent="0.25">
      <c r="A420" s="2" t="s">
        <v>465</v>
      </c>
      <c r="B420" s="2" t="s">
        <v>15</v>
      </c>
      <c r="C420" s="2" t="s">
        <v>76</v>
      </c>
      <c r="D420" s="2" t="s">
        <v>23</v>
      </c>
      <c r="E420" s="3">
        <v>45099</v>
      </c>
      <c r="F420" s="3">
        <v>45106</v>
      </c>
      <c r="G420" s="4">
        <v>516</v>
      </c>
      <c r="H420" s="4">
        <v>7</v>
      </c>
      <c r="I420" s="2" t="s">
        <v>18</v>
      </c>
      <c r="J420" s="2" t="s">
        <v>25</v>
      </c>
      <c r="K420" s="4">
        <v>4</v>
      </c>
      <c r="L420" s="4">
        <v>365.51</v>
      </c>
      <c r="M420" s="4">
        <v>1462.04</v>
      </c>
      <c r="N420" s="2" t="s">
        <v>20</v>
      </c>
    </row>
    <row r="421" spans="1:14" ht="15" x14ac:dyDescent="0.25">
      <c r="A421" s="2" t="s">
        <v>466</v>
      </c>
      <c r="B421" s="2" t="s">
        <v>28</v>
      </c>
      <c r="C421" s="2" t="s">
        <v>29</v>
      </c>
      <c r="D421" s="2" t="s">
        <v>23</v>
      </c>
      <c r="E421" s="3">
        <v>45041</v>
      </c>
      <c r="F421" s="3">
        <v>45045</v>
      </c>
      <c r="G421" s="4">
        <v>774</v>
      </c>
      <c r="H421" s="4">
        <v>4</v>
      </c>
      <c r="I421" s="2" t="s">
        <v>30</v>
      </c>
      <c r="J421" s="2" t="s">
        <v>19</v>
      </c>
      <c r="K421" s="4">
        <v>3</v>
      </c>
      <c r="L421" s="4">
        <v>356.05</v>
      </c>
      <c r="M421" s="4">
        <v>1068.1500000000001</v>
      </c>
      <c r="N421" s="2" t="s">
        <v>43</v>
      </c>
    </row>
    <row r="422" spans="1:14" ht="15" x14ac:dyDescent="0.25">
      <c r="A422" s="2" t="s">
        <v>467</v>
      </c>
      <c r="B422" s="2" t="s">
        <v>22</v>
      </c>
      <c r="C422" s="2" t="s">
        <v>37</v>
      </c>
      <c r="D422" s="2" t="s">
        <v>23</v>
      </c>
      <c r="E422" s="3">
        <v>44970</v>
      </c>
      <c r="F422" s="3">
        <v>44972</v>
      </c>
      <c r="G422" s="4">
        <v>791</v>
      </c>
      <c r="H422" s="4">
        <v>2</v>
      </c>
      <c r="I422" s="2" t="s">
        <v>51</v>
      </c>
      <c r="J422" s="2" t="s">
        <v>57</v>
      </c>
      <c r="K422" s="4">
        <v>4</v>
      </c>
      <c r="L422" s="4">
        <v>233.67</v>
      </c>
      <c r="M422" s="4">
        <v>934.68</v>
      </c>
      <c r="N422" s="2" t="s">
        <v>43</v>
      </c>
    </row>
    <row r="423" spans="1:14" ht="15" x14ac:dyDescent="0.25">
      <c r="A423" s="2" t="s">
        <v>468</v>
      </c>
      <c r="B423" s="2" t="s">
        <v>53</v>
      </c>
      <c r="C423" s="2" t="s">
        <v>16</v>
      </c>
      <c r="D423" s="2" t="s">
        <v>47</v>
      </c>
      <c r="E423" s="3">
        <v>45193</v>
      </c>
      <c r="F423" s="3">
        <v>45200</v>
      </c>
      <c r="G423" s="4">
        <v>645</v>
      </c>
      <c r="H423" s="4">
        <v>7</v>
      </c>
      <c r="I423" s="2" t="s">
        <v>63</v>
      </c>
      <c r="J423" s="2" t="s">
        <v>25</v>
      </c>
      <c r="K423" s="4">
        <v>2</v>
      </c>
      <c r="L423" s="4">
        <v>56.93</v>
      </c>
      <c r="M423" s="4">
        <v>113.86</v>
      </c>
      <c r="N423" s="2" t="s">
        <v>26</v>
      </c>
    </row>
    <row r="424" spans="1:14" ht="15" x14ac:dyDescent="0.25">
      <c r="A424" s="2" t="s">
        <v>469</v>
      </c>
      <c r="B424" s="2" t="s">
        <v>15</v>
      </c>
      <c r="C424" s="2" t="s">
        <v>29</v>
      </c>
      <c r="D424" s="2" t="s">
        <v>17</v>
      </c>
      <c r="E424" s="3">
        <v>44997</v>
      </c>
      <c r="F424" s="3">
        <v>45003</v>
      </c>
      <c r="G424" s="4">
        <v>140</v>
      </c>
      <c r="H424" s="4">
        <v>6</v>
      </c>
      <c r="I424" s="2" t="s">
        <v>30</v>
      </c>
      <c r="J424" s="2" t="s">
        <v>57</v>
      </c>
      <c r="K424" s="4">
        <v>1</v>
      </c>
      <c r="L424" s="4">
        <v>312.32</v>
      </c>
      <c r="M424" s="4">
        <v>312.32</v>
      </c>
      <c r="N424" s="2" t="s">
        <v>26</v>
      </c>
    </row>
    <row r="425" spans="1:14" ht="15" x14ac:dyDescent="0.25">
      <c r="A425" s="2" t="s">
        <v>470</v>
      </c>
      <c r="B425" s="2" t="s">
        <v>53</v>
      </c>
      <c r="C425" s="2" t="s">
        <v>76</v>
      </c>
      <c r="D425" s="2" t="s">
        <v>17</v>
      </c>
      <c r="E425" s="3">
        <v>44969</v>
      </c>
      <c r="F425" s="3">
        <v>44972</v>
      </c>
      <c r="G425" s="4">
        <v>406</v>
      </c>
      <c r="H425" s="4">
        <v>3</v>
      </c>
      <c r="I425" s="2" t="s">
        <v>51</v>
      </c>
      <c r="J425" s="2" t="s">
        <v>25</v>
      </c>
      <c r="K425" s="4">
        <v>2</v>
      </c>
      <c r="L425" s="4">
        <v>163.9</v>
      </c>
      <c r="M425" s="4">
        <v>327.8</v>
      </c>
      <c r="N425" s="2" t="s">
        <v>20</v>
      </c>
    </row>
    <row r="426" spans="1:14" ht="15" x14ac:dyDescent="0.25">
      <c r="A426" s="2" t="s">
        <v>471</v>
      </c>
      <c r="B426" s="2" t="s">
        <v>28</v>
      </c>
      <c r="C426" s="2" t="s">
        <v>61</v>
      </c>
      <c r="D426" s="2" t="s">
        <v>23</v>
      </c>
      <c r="E426" s="3">
        <v>45080</v>
      </c>
      <c r="F426" s="3">
        <v>45086</v>
      </c>
      <c r="G426" s="4">
        <v>437</v>
      </c>
      <c r="H426" s="4">
        <v>6</v>
      </c>
      <c r="I426" s="2" t="s">
        <v>42</v>
      </c>
      <c r="J426" s="2" t="s">
        <v>49</v>
      </c>
      <c r="K426" s="4">
        <v>3</v>
      </c>
      <c r="L426" s="4">
        <v>252.61</v>
      </c>
      <c r="M426" s="4">
        <v>757.83</v>
      </c>
      <c r="N426" s="2" t="s">
        <v>26</v>
      </c>
    </row>
    <row r="427" spans="1:14" ht="15" x14ac:dyDescent="0.25">
      <c r="A427" s="2" t="s">
        <v>472</v>
      </c>
      <c r="B427" s="2" t="s">
        <v>53</v>
      </c>
      <c r="C427" s="2" t="s">
        <v>61</v>
      </c>
      <c r="D427" s="2" t="s">
        <v>47</v>
      </c>
      <c r="E427" s="3">
        <v>45217</v>
      </c>
      <c r="F427" s="3">
        <v>45223</v>
      </c>
      <c r="G427" s="4">
        <v>413</v>
      </c>
      <c r="H427" s="4">
        <v>6</v>
      </c>
      <c r="I427" s="2" t="s">
        <v>55</v>
      </c>
      <c r="J427" s="2" t="s">
        <v>19</v>
      </c>
      <c r="K427" s="4">
        <v>3</v>
      </c>
      <c r="L427" s="4">
        <v>480.91</v>
      </c>
      <c r="M427" s="4">
        <v>1442.73</v>
      </c>
      <c r="N427" s="2" t="s">
        <v>31</v>
      </c>
    </row>
    <row r="428" spans="1:14" ht="15" x14ac:dyDescent="0.25">
      <c r="A428" s="2" t="s">
        <v>473</v>
      </c>
      <c r="B428" s="2" t="s">
        <v>33</v>
      </c>
      <c r="C428" s="2" t="s">
        <v>16</v>
      </c>
      <c r="D428" s="2" t="s">
        <v>23</v>
      </c>
      <c r="E428" s="3">
        <v>45198</v>
      </c>
      <c r="F428" s="3">
        <v>45203</v>
      </c>
      <c r="G428" s="4">
        <v>174</v>
      </c>
      <c r="H428" s="4">
        <v>5</v>
      </c>
      <c r="I428" s="2" t="s">
        <v>51</v>
      </c>
      <c r="J428" s="2" t="s">
        <v>19</v>
      </c>
      <c r="K428" s="4">
        <v>3</v>
      </c>
      <c r="L428" s="4">
        <v>229.57</v>
      </c>
      <c r="M428" s="4">
        <v>688.71</v>
      </c>
      <c r="N428" s="2" t="s">
        <v>31</v>
      </c>
    </row>
    <row r="429" spans="1:14" ht="15" x14ac:dyDescent="0.25">
      <c r="A429" s="2" t="s">
        <v>474</v>
      </c>
      <c r="B429" s="2" t="s">
        <v>41</v>
      </c>
      <c r="C429" s="2" t="s">
        <v>46</v>
      </c>
      <c r="D429" s="2" t="s">
        <v>23</v>
      </c>
      <c r="E429" s="3">
        <v>44947</v>
      </c>
      <c r="F429" s="3">
        <v>44951</v>
      </c>
      <c r="G429" s="4">
        <v>378</v>
      </c>
      <c r="H429" s="4">
        <v>4</v>
      </c>
      <c r="I429" s="2" t="s">
        <v>51</v>
      </c>
      <c r="J429" s="2" t="s">
        <v>19</v>
      </c>
      <c r="K429" s="4">
        <v>2</v>
      </c>
      <c r="L429" s="4">
        <v>427.91</v>
      </c>
      <c r="M429" s="4">
        <v>855.82</v>
      </c>
      <c r="N429" s="2" t="s">
        <v>31</v>
      </c>
    </row>
    <row r="430" spans="1:14" ht="15" x14ac:dyDescent="0.25">
      <c r="A430" s="2" t="s">
        <v>475</v>
      </c>
      <c r="B430" s="2" t="s">
        <v>28</v>
      </c>
      <c r="C430" s="2" t="s">
        <v>61</v>
      </c>
      <c r="D430" s="2" t="s">
        <v>35</v>
      </c>
      <c r="E430" s="3">
        <v>45093</v>
      </c>
      <c r="F430" s="3">
        <v>45094</v>
      </c>
      <c r="G430" s="4">
        <v>275</v>
      </c>
      <c r="H430" s="4">
        <v>1</v>
      </c>
      <c r="I430" s="2" t="s">
        <v>30</v>
      </c>
      <c r="J430" s="2" t="s">
        <v>25</v>
      </c>
      <c r="K430" s="4">
        <v>4</v>
      </c>
      <c r="L430" s="4">
        <v>134.84</v>
      </c>
      <c r="M430" s="4">
        <v>539.36</v>
      </c>
      <c r="N430" s="2" t="s">
        <v>31</v>
      </c>
    </row>
    <row r="431" spans="1:14" ht="15" x14ac:dyDescent="0.25">
      <c r="A431" s="2" t="s">
        <v>476</v>
      </c>
      <c r="B431" s="2" t="s">
        <v>75</v>
      </c>
      <c r="C431" s="2" t="s">
        <v>16</v>
      </c>
      <c r="D431" s="2" t="s">
        <v>17</v>
      </c>
      <c r="E431" s="3">
        <v>45117</v>
      </c>
      <c r="F431" s="3">
        <v>45123</v>
      </c>
      <c r="G431" s="4">
        <v>995</v>
      </c>
      <c r="H431" s="4">
        <v>6</v>
      </c>
      <c r="I431" s="2" t="s">
        <v>63</v>
      </c>
      <c r="J431" s="2" t="s">
        <v>39</v>
      </c>
      <c r="K431" s="4">
        <v>2</v>
      </c>
      <c r="L431" s="4">
        <v>352.61</v>
      </c>
      <c r="M431" s="4">
        <v>705.22</v>
      </c>
      <c r="N431" s="2" t="s">
        <v>31</v>
      </c>
    </row>
    <row r="432" spans="1:14" ht="15" x14ac:dyDescent="0.25">
      <c r="A432" s="2" t="s">
        <v>477</v>
      </c>
      <c r="B432" s="2" t="s">
        <v>15</v>
      </c>
      <c r="C432" s="2" t="s">
        <v>34</v>
      </c>
      <c r="D432" s="2" t="s">
        <v>17</v>
      </c>
      <c r="E432" s="3">
        <v>45162</v>
      </c>
      <c r="F432" s="3">
        <v>45164</v>
      </c>
      <c r="G432" s="4">
        <v>761</v>
      </c>
      <c r="H432" s="4">
        <v>2</v>
      </c>
      <c r="I432" s="2" t="s">
        <v>30</v>
      </c>
      <c r="J432" s="2" t="s">
        <v>57</v>
      </c>
      <c r="K432" s="4">
        <v>1</v>
      </c>
      <c r="L432" s="4">
        <v>489.65</v>
      </c>
      <c r="M432" s="4">
        <v>489.65</v>
      </c>
      <c r="N432" s="2" t="s">
        <v>43</v>
      </c>
    </row>
    <row r="433" spans="1:14" ht="15" x14ac:dyDescent="0.25">
      <c r="A433" s="2" t="s">
        <v>478</v>
      </c>
      <c r="B433" s="2" t="s">
        <v>45</v>
      </c>
      <c r="C433" s="2" t="s">
        <v>61</v>
      </c>
      <c r="D433" s="2" t="s">
        <v>23</v>
      </c>
      <c r="E433" s="3">
        <v>45164</v>
      </c>
      <c r="F433" s="3">
        <v>45167</v>
      </c>
      <c r="G433" s="4">
        <v>372</v>
      </c>
      <c r="H433" s="4">
        <v>3</v>
      </c>
      <c r="I433" s="2" t="s">
        <v>55</v>
      </c>
      <c r="J433" s="2" t="s">
        <v>49</v>
      </c>
      <c r="K433" s="4">
        <v>4</v>
      </c>
      <c r="L433" s="4">
        <v>95.85</v>
      </c>
      <c r="M433" s="4">
        <v>383.4</v>
      </c>
      <c r="N433" s="2" t="s">
        <v>20</v>
      </c>
    </row>
    <row r="434" spans="1:14" ht="15" x14ac:dyDescent="0.25">
      <c r="A434" s="2" t="s">
        <v>479</v>
      </c>
      <c r="B434" s="2" t="s">
        <v>41</v>
      </c>
      <c r="C434" s="2" t="s">
        <v>76</v>
      </c>
      <c r="D434" s="2" t="s">
        <v>47</v>
      </c>
      <c r="E434" s="3">
        <v>45060</v>
      </c>
      <c r="F434" s="3">
        <v>45068</v>
      </c>
      <c r="G434" s="4">
        <v>936</v>
      </c>
      <c r="H434" s="4">
        <v>8</v>
      </c>
      <c r="I434" s="2" t="s">
        <v>24</v>
      </c>
      <c r="J434" s="2" t="s">
        <v>25</v>
      </c>
      <c r="K434" s="4">
        <v>3</v>
      </c>
      <c r="L434" s="4">
        <v>53.74</v>
      </c>
      <c r="M434" s="4">
        <v>161.22</v>
      </c>
      <c r="N434" s="2" t="s">
        <v>26</v>
      </c>
    </row>
    <row r="435" spans="1:14" ht="15" x14ac:dyDescent="0.25">
      <c r="A435" s="2" t="s">
        <v>480</v>
      </c>
      <c r="B435" s="2" t="s">
        <v>15</v>
      </c>
      <c r="C435" s="2" t="s">
        <v>34</v>
      </c>
      <c r="D435" s="2" t="s">
        <v>35</v>
      </c>
      <c r="E435" s="3">
        <v>45131</v>
      </c>
      <c r="F435" s="3">
        <v>45137</v>
      </c>
      <c r="G435" s="4">
        <v>719</v>
      </c>
      <c r="H435" s="4">
        <v>6</v>
      </c>
      <c r="I435" s="2" t="s">
        <v>63</v>
      </c>
      <c r="J435" s="2" t="s">
        <v>57</v>
      </c>
      <c r="K435" s="4">
        <v>2</v>
      </c>
      <c r="L435" s="4">
        <v>245.11</v>
      </c>
      <c r="M435" s="4">
        <v>490.22</v>
      </c>
      <c r="N435" s="2" t="s">
        <v>31</v>
      </c>
    </row>
    <row r="436" spans="1:14" ht="15" x14ac:dyDescent="0.25">
      <c r="A436" s="2" t="s">
        <v>481</v>
      </c>
      <c r="B436" s="2" t="s">
        <v>41</v>
      </c>
      <c r="C436" s="2" t="s">
        <v>29</v>
      </c>
      <c r="D436" s="2" t="s">
        <v>35</v>
      </c>
      <c r="E436" s="3">
        <v>45102</v>
      </c>
      <c r="F436" s="3">
        <v>45105</v>
      </c>
      <c r="G436" s="4">
        <v>750</v>
      </c>
      <c r="H436" s="4">
        <v>3</v>
      </c>
      <c r="I436" s="2" t="s">
        <v>51</v>
      </c>
      <c r="J436" s="2" t="s">
        <v>25</v>
      </c>
      <c r="K436" s="4">
        <v>3</v>
      </c>
      <c r="L436" s="4">
        <v>91.68</v>
      </c>
      <c r="M436" s="4">
        <v>275.04000000000002</v>
      </c>
      <c r="N436" s="2" t="s">
        <v>43</v>
      </c>
    </row>
    <row r="437" spans="1:14" ht="15" x14ac:dyDescent="0.25">
      <c r="A437" s="2" t="s">
        <v>482</v>
      </c>
      <c r="B437" s="2" t="s">
        <v>75</v>
      </c>
      <c r="C437" s="2" t="s">
        <v>16</v>
      </c>
      <c r="D437" s="2" t="s">
        <v>54</v>
      </c>
      <c r="E437" s="3">
        <v>45250</v>
      </c>
      <c r="F437" s="3">
        <v>45257</v>
      </c>
      <c r="G437" s="4">
        <v>961</v>
      </c>
      <c r="H437" s="4">
        <v>7</v>
      </c>
      <c r="I437" s="2" t="s">
        <v>24</v>
      </c>
      <c r="J437" s="2" t="s">
        <v>39</v>
      </c>
      <c r="K437" s="4">
        <v>3</v>
      </c>
      <c r="L437" s="4">
        <v>386.77</v>
      </c>
      <c r="M437" s="4">
        <v>1160.31</v>
      </c>
      <c r="N437" s="2" t="s">
        <v>20</v>
      </c>
    </row>
    <row r="438" spans="1:14" ht="15" x14ac:dyDescent="0.25">
      <c r="A438" s="2" t="s">
        <v>483</v>
      </c>
      <c r="B438" s="2" t="s">
        <v>75</v>
      </c>
      <c r="C438" s="2" t="s">
        <v>76</v>
      </c>
      <c r="D438" s="2" t="s">
        <v>23</v>
      </c>
      <c r="E438" s="3">
        <v>45120</v>
      </c>
      <c r="F438" s="3">
        <v>45124</v>
      </c>
      <c r="G438" s="4">
        <v>882</v>
      </c>
      <c r="H438" s="4">
        <v>4</v>
      </c>
      <c r="I438" s="2" t="s">
        <v>24</v>
      </c>
      <c r="J438" s="2" t="s">
        <v>57</v>
      </c>
      <c r="K438" s="4">
        <v>1</v>
      </c>
      <c r="L438" s="4">
        <v>461.55</v>
      </c>
      <c r="M438" s="4">
        <v>461.55</v>
      </c>
      <c r="N438" s="2" t="s">
        <v>20</v>
      </c>
    </row>
    <row r="439" spans="1:14" ht="15" x14ac:dyDescent="0.25">
      <c r="A439" s="2" t="s">
        <v>484</v>
      </c>
      <c r="B439" s="2" t="s">
        <v>75</v>
      </c>
      <c r="C439" s="2" t="s">
        <v>46</v>
      </c>
      <c r="D439" s="2" t="s">
        <v>47</v>
      </c>
      <c r="E439" s="3">
        <v>45087</v>
      </c>
      <c r="F439" s="3">
        <v>45096</v>
      </c>
      <c r="G439" s="4">
        <v>958</v>
      </c>
      <c r="H439" s="4">
        <v>9</v>
      </c>
      <c r="I439" s="2" t="s">
        <v>24</v>
      </c>
      <c r="J439" s="2" t="s">
        <v>25</v>
      </c>
      <c r="K439" s="4">
        <v>4</v>
      </c>
      <c r="L439" s="4">
        <v>245.31</v>
      </c>
      <c r="M439" s="4">
        <v>981.24</v>
      </c>
      <c r="N439" s="2" t="s">
        <v>43</v>
      </c>
    </row>
    <row r="440" spans="1:14" ht="15" x14ac:dyDescent="0.25">
      <c r="A440" s="2" t="s">
        <v>485</v>
      </c>
      <c r="B440" s="2" t="s">
        <v>41</v>
      </c>
      <c r="C440" s="2" t="s">
        <v>61</v>
      </c>
      <c r="D440" s="2" t="s">
        <v>23</v>
      </c>
      <c r="E440" s="3">
        <v>45074</v>
      </c>
      <c r="F440" s="3">
        <v>45079</v>
      </c>
      <c r="G440" s="4">
        <v>388</v>
      </c>
      <c r="H440" s="4">
        <v>5</v>
      </c>
      <c r="I440" s="2" t="s">
        <v>42</v>
      </c>
      <c r="J440" s="2" t="s">
        <v>39</v>
      </c>
      <c r="K440" s="4">
        <v>1</v>
      </c>
      <c r="L440" s="4">
        <v>166.42</v>
      </c>
      <c r="M440" s="4">
        <v>166.42</v>
      </c>
      <c r="N440" s="2" t="s">
        <v>26</v>
      </c>
    </row>
    <row r="441" spans="1:14" ht="15" x14ac:dyDescent="0.25">
      <c r="A441" s="2" t="s">
        <v>486</v>
      </c>
      <c r="B441" s="2" t="s">
        <v>53</v>
      </c>
      <c r="C441" s="2" t="s">
        <v>29</v>
      </c>
      <c r="D441" s="2" t="s">
        <v>35</v>
      </c>
      <c r="E441" s="3">
        <v>45135</v>
      </c>
      <c r="F441" s="3">
        <v>45138</v>
      </c>
      <c r="G441" s="4">
        <v>823</v>
      </c>
      <c r="H441" s="4">
        <v>3</v>
      </c>
      <c r="I441" s="2" t="s">
        <v>24</v>
      </c>
      <c r="J441" s="2" t="s">
        <v>39</v>
      </c>
      <c r="K441" s="4">
        <v>1</v>
      </c>
      <c r="L441" s="4">
        <v>245.48</v>
      </c>
      <c r="M441" s="4">
        <v>245.48</v>
      </c>
      <c r="N441" s="2" t="s">
        <v>31</v>
      </c>
    </row>
    <row r="442" spans="1:14" ht="15" x14ac:dyDescent="0.25">
      <c r="A442" s="2" t="s">
        <v>487</v>
      </c>
      <c r="B442" s="2" t="s">
        <v>41</v>
      </c>
      <c r="C442" s="2" t="s">
        <v>37</v>
      </c>
      <c r="D442" s="2" t="s">
        <v>35</v>
      </c>
      <c r="E442" s="3">
        <v>45220</v>
      </c>
      <c r="F442" s="3">
        <v>45222</v>
      </c>
      <c r="G442" s="4">
        <v>992</v>
      </c>
      <c r="H442" s="4">
        <v>2</v>
      </c>
      <c r="I442" s="2" t="s">
        <v>24</v>
      </c>
      <c r="J442" s="2" t="s">
        <v>49</v>
      </c>
      <c r="K442" s="4">
        <v>1</v>
      </c>
      <c r="L442" s="4">
        <v>375.55</v>
      </c>
      <c r="M442" s="4">
        <v>375.55</v>
      </c>
      <c r="N442" s="2" t="s">
        <v>31</v>
      </c>
    </row>
    <row r="443" spans="1:14" ht="15" x14ac:dyDescent="0.25">
      <c r="A443" s="2" t="s">
        <v>488</v>
      </c>
      <c r="B443" s="2" t="s">
        <v>22</v>
      </c>
      <c r="C443" s="2" t="s">
        <v>46</v>
      </c>
      <c r="D443" s="2" t="s">
        <v>35</v>
      </c>
      <c r="E443" s="3">
        <v>45123</v>
      </c>
      <c r="F443" s="3">
        <v>45125</v>
      </c>
      <c r="G443" s="4">
        <v>371</v>
      </c>
      <c r="H443" s="4">
        <v>2</v>
      </c>
      <c r="I443" s="2" t="s">
        <v>55</v>
      </c>
      <c r="J443" s="2" t="s">
        <v>25</v>
      </c>
      <c r="K443" s="4">
        <v>3</v>
      </c>
      <c r="L443" s="4">
        <v>54.07</v>
      </c>
      <c r="M443" s="4">
        <v>162.21</v>
      </c>
      <c r="N443" s="2" t="s">
        <v>43</v>
      </c>
    </row>
    <row r="444" spans="1:14" ht="15" x14ac:dyDescent="0.25">
      <c r="A444" s="2" t="s">
        <v>489</v>
      </c>
      <c r="B444" s="2" t="s">
        <v>33</v>
      </c>
      <c r="C444" s="2" t="s">
        <v>46</v>
      </c>
      <c r="D444" s="2" t="s">
        <v>54</v>
      </c>
      <c r="E444" s="3">
        <v>45168</v>
      </c>
      <c r="F444" s="3">
        <v>45171</v>
      </c>
      <c r="G444" s="4">
        <v>165</v>
      </c>
      <c r="H444" s="4">
        <v>3</v>
      </c>
      <c r="I444" s="2" t="s">
        <v>30</v>
      </c>
      <c r="J444" s="2" t="s">
        <v>39</v>
      </c>
      <c r="K444" s="4">
        <v>1</v>
      </c>
      <c r="L444" s="4">
        <v>315.25</v>
      </c>
      <c r="M444" s="4">
        <v>315.25</v>
      </c>
      <c r="N444" s="2" t="s">
        <v>31</v>
      </c>
    </row>
    <row r="445" spans="1:14" ht="15" x14ac:dyDescent="0.25">
      <c r="A445" s="2" t="s">
        <v>490</v>
      </c>
      <c r="B445" s="2" t="s">
        <v>28</v>
      </c>
      <c r="C445" s="2" t="s">
        <v>29</v>
      </c>
      <c r="D445" s="2" t="s">
        <v>47</v>
      </c>
      <c r="E445" s="3">
        <v>45196</v>
      </c>
      <c r="F445" s="3">
        <v>45198</v>
      </c>
      <c r="G445" s="4">
        <v>582</v>
      </c>
      <c r="H445" s="4">
        <v>2</v>
      </c>
      <c r="I445" s="2" t="s">
        <v>42</v>
      </c>
      <c r="J445" s="2" t="s">
        <v>49</v>
      </c>
      <c r="K445" s="4">
        <v>1</v>
      </c>
      <c r="L445" s="4">
        <v>325.98</v>
      </c>
      <c r="M445" s="4">
        <v>325.98</v>
      </c>
      <c r="N445" s="2" t="s">
        <v>31</v>
      </c>
    </row>
    <row r="446" spans="1:14" ht="15" x14ac:dyDescent="0.25">
      <c r="A446" s="2" t="s">
        <v>491</v>
      </c>
      <c r="B446" s="2" t="s">
        <v>28</v>
      </c>
      <c r="C446" s="2" t="s">
        <v>34</v>
      </c>
      <c r="D446" s="2" t="s">
        <v>17</v>
      </c>
      <c r="E446" s="3">
        <v>45116</v>
      </c>
      <c r="F446" s="3">
        <v>45120</v>
      </c>
      <c r="G446" s="4">
        <v>347</v>
      </c>
      <c r="H446" s="4">
        <v>4</v>
      </c>
      <c r="I446" s="2" t="s">
        <v>18</v>
      </c>
      <c r="J446" s="2" t="s">
        <v>57</v>
      </c>
      <c r="K446" s="4">
        <v>4</v>
      </c>
      <c r="L446" s="4">
        <v>336.96</v>
      </c>
      <c r="M446" s="4">
        <v>1347.84</v>
      </c>
      <c r="N446" s="2" t="s">
        <v>26</v>
      </c>
    </row>
    <row r="447" spans="1:14" ht="15" x14ac:dyDescent="0.25">
      <c r="A447" s="2" t="s">
        <v>492</v>
      </c>
      <c r="B447" s="2" t="s">
        <v>28</v>
      </c>
      <c r="C447" s="2" t="s">
        <v>46</v>
      </c>
      <c r="D447" s="2" t="s">
        <v>54</v>
      </c>
      <c r="E447" s="3">
        <v>45082</v>
      </c>
      <c r="F447" s="3">
        <v>45084</v>
      </c>
      <c r="G447" s="4">
        <v>255</v>
      </c>
      <c r="H447" s="4">
        <v>2</v>
      </c>
      <c r="I447" s="2" t="s">
        <v>51</v>
      </c>
      <c r="J447" s="2" t="s">
        <v>25</v>
      </c>
      <c r="K447" s="4">
        <v>4</v>
      </c>
      <c r="L447" s="4">
        <v>158.91</v>
      </c>
      <c r="M447" s="4">
        <v>635.64</v>
      </c>
      <c r="N447" s="2" t="s">
        <v>43</v>
      </c>
    </row>
    <row r="448" spans="1:14" ht="15" x14ac:dyDescent="0.25">
      <c r="A448" s="2" t="s">
        <v>493</v>
      </c>
      <c r="B448" s="2" t="s">
        <v>45</v>
      </c>
      <c r="C448" s="2" t="s">
        <v>16</v>
      </c>
      <c r="D448" s="2" t="s">
        <v>54</v>
      </c>
      <c r="E448" s="3">
        <v>45246</v>
      </c>
      <c r="F448" s="3">
        <v>45255</v>
      </c>
      <c r="G448" s="4">
        <v>146</v>
      </c>
      <c r="H448" s="4">
        <v>9</v>
      </c>
      <c r="I448" s="2" t="s">
        <v>30</v>
      </c>
      <c r="J448" s="2" t="s">
        <v>19</v>
      </c>
      <c r="K448" s="4">
        <v>1</v>
      </c>
      <c r="L448" s="4">
        <v>371.32</v>
      </c>
      <c r="M448" s="4">
        <v>371.32</v>
      </c>
      <c r="N448" s="2" t="s">
        <v>26</v>
      </c>
    </row>
    <row r="449" spans="1:14" ht="15" x14ac:dyDescent="0.25">
      <c r="A449" s="2" t="s">
        <v>494</v>
      </c>
      <c r="B449" s="2" t="s">
        <v>28</v>
      </c>
      <c r="C449" s="2" t="s">
        <v>29</v>
      </c>
      <c r="D449" s="2" t="s">
        <v>54</v>
      </c>
      <c r="E449" s="3">
        <v>45079</v>
      </c>
      <c r="F449" s="3">
        <v>45081</v>
      </c>
      <c r="G449" s="4">
        <v>553</v>
      </c>
      <c r="H449" s="4">
        <v>2</v>
      </c>
      <c r="I449" s="2" t="s">
        <v>63</v>
      </c>
      <c r="J449" s="2" t="s">
        <v>39</v>
      </c>
      <c r="K449" s="4">
        <v>4</v>
      </c>
      <c r="L449" s="4">
        <v>91.13</v>
      </c>
      <c r="M449" s="4">
        <v>364.52</v>
      </c>
      <c r="N449" s="2" t="s">
        <v>31</v>
      </c>
    </row>
    <row r="450" spans="1:14" ht="15" x14ac:dyDescent="0.25">
      <c r="A450" s="2" t="s">
        <v>495</v>
      </c>
      <c r="B450" s="2" t="s">
        <v>33</v>
      </c>
      <c r="C450" s="2" t="s">
        <v>37</v>
      </c>
      <c r="D450" s="2" t="s">
        <v>35</v>
      </c>
      <c r="E450" s="3">
        <v>45095</v>
      </c>
      <c r="F450" s="3">
        <v>45104</v>
      </c>
      <c r="G450" s="4">
        <v>300</v>
      </c>
      <c r="H450" s="4">
        <v>9</v>
      </c>
      <c r="I450" s="2" t="s">
        <v>55</v>
      </c>
      <c r="J450" s="2" t="s">
        <v>57</v>
      </c>
      <c r="K450" s="4">
        <v>4</v>
      </c>
      <c r="L450" s="4">
        <v>139.66999999999999</v>
      </c>
      <c r="M450" s="4">
        <v>558.67999999999995</v>
      </c>
      <c r="N450" s="2" t="s">
        <v>20</v>
      </c>
    </row>
    <row r="451" spans="1:14" ht="15" x14ac:dyDescent="0.25">
      <c r="A451" s="2" t="s">
        <v>496</v>
      </c>
      <c r="B451" s="2" t="s">
        <v>45</v>
      </c>
      <c r="C451" s="2" t="s">
        <v>16</v>
      </c>
      <c r="D451" s="2" t="s">
        <v>23</v>
      </c>
      <c r="E451" s="3">
        <v>45288</v>
      </c>
      <c r="F451" s="3">
        <v>45294</v>
      </c>
      <c r="G451" s="4">
        <v>759</v>
      </c>
      <c r="H451" s="4">
        <v>6</v>
      </c>
      <c r="I451" s="2" t="s">
        <v>51</v>
      </c>
      <c r="J451" s="2" t="s">
        <v>25</v>
      </c>
      <c r="K451" s="4">
        <v>1</v>
      </c>
      <c r="L451" s="4">
        <v>444.86</v>
      </c>
      <c r="M451" s="4">
        <v>444.86</v>
      </c>
      <c r="N451" s="2" t="s">
        <v>26</v>
      </c>
    </row>
    <row r="452" spans="1:14" ht="15" x14ac:dyDescent="0.25">
      <c r="A452" s="2" t="s">
        <v>497</v>
      </c>
      <c r="B452" s="2" t="s">
        <v>22</v>
      </c>
      <c r="C452" s="2" t="s">
        <v>61</v>
      </c>
      <c r="D452" s="2" t="s">
        <v>35</v>
      </c>
      <c r="E452" s="3">
        <v>44927</v>
      </c>
      <c r="F452" s="3">
        <v>44928</v>
      </c>
      <c r="G452" s="4">
        <v>223</v>
      </c>
      <c r="H452" s="4">
        <v>1</v>
      </c>
      <c r="I452" s="2" t="s">
        <v>24</v>
      </c>
      <c r="J452" s="2" t="s">
        <v>49</v>
      </c>
      <c r="K452" s="4">
        <v>3</v>
      </c>
      <c r="L452" s="4">
        <v>382.43</v>
      </c>
      <c r="M452" s="4">
        <v>1147.29</v>
      </c>
      <c r="N452" s="2" t="s">
        <v>26</v>
      </c>
    </row>
    <row r="453" spans="1:14" ht="15" x14ac:dyDescent="0.25">
      <c r="A453" s="2" t="s">
        <v>498</v>
      </c>
      <c r="B453" s="2" t="s">
        <v>33</v>
      </c>
      <c r="C453" s="2" t="s">
        <v>37</v>
      </c>
      <c r="D453" s="2" t="s">
        <v>35</v>
      </c>
      <c r="E453" s="3">
        <v>44994</v>
      </c>
      <c r="F453" s="3">
        <v>44998</v>
      </c>
      <c r="G453" s="4">
        <v>100</v>
      </c>
      <c r="H453" s="4">
        <v>4</v>
      </c>
      <c r="I453" s="2" t="s">
        <v>24</v>
      </c>
      <c r="J453" s="2" t="s">
        <v>57</v>
      </c>
      <c r="K453" s="4">
        <v>1</v>
      </c>
      <c r="L453" s="4">
        <v>56.19</v>
      </c>
      <c r="M453" s="4">
        <v>56.19</v>
      </c>
      <c r="N453" s="2" t="s">
        <v>26</v>
      </c>
    </row>
    <row r="454" spans="1:14" ht="15" x14ac:dyDescent="0.25">
      <c r="A454" s="2" t="s">
        <v>499</v>
      </c>
      <c r="B454" s="2" t="s">
        <v>75</v>
      </c>
      <c r="C454" s="2" t="s">
        <v>29</v>
      </c>
      <c r="D454" s="2" t="s">
        <v>54</v>
      </c>
      <c r="E454" s="3">
        <v>45067</v>
      </c>
      <c r="F454" s="3">
        <v>45068</v>
      </c>
      <c r="G454" s="4">
        <v>858</v>
      </c>
      <c r="H454" s="4">
        <v>1</v>
      </c>
      <c r="I454" s="2" t="s">
        <v>24</v>
      </c>
      <c r="J454" s="2" t="s">
        <v>39</v>
      </c>
      <c r="K454" s="4">
        <v>4</v>
      </c>
      <c r="L454" s="4">
        <v>161.77000000000001</v>
      </c>
      <c r="M454" s="4">
        <v>647.08000000000004</v>
      </c>
      <c r="N454" s="2" t="s">
        <v>31</v>
      </c>
    </row>
    <row r="455" spans="1:14" ht="15" x14ac:dyDescent="0.25">
      <c r="A455" s="2" t="s">
        <v>500</v>
      </c>
      <c r="B455" s="2" t="s">
        <v>33</v>
      </c>
      <c r="C455" s="2" t="s">
        <v>34</v>
      </c>
      <c r="D455" s="2" t="s">
        <v>35</v>
      </c>
      <c r="E455" s="3">
        <v>45267</v>
      </c>
      <c r="F455" s="3">
        <v>45273</v>
      </c>
      <c r="G455" s="4">
        <v>954</v>
      </c>
      <c r="H455" s="4">
        <v>6</v>
      </c>
      <c r="I455" s="2" t="s">
        <v>51</v>
      </c>
      <c r="J455" s="2" t="s">
        <v>49</v>
      </c>
      <c r="K455" s="4">
        <v>3</v>
      </c>
      <c r="L455" s="4">
        <v>146.47999999999999</v>
      </c>
      <c r="M455" s="4">
        <v>439.44</v>
      </c>
      <c r="N455" s="2" t="s">
        <v>31</v>
      </c>
    </row>
    <row r="456" spans="1:14" ht="15" x14ac:dyDescent="0.25">
      <c r="A456" s="2" t="s">
        <v>501</v>
      </c>
      <c r="B456" s="2" t="s">
        <v>15</v>
      </c>
      <c r="C456" s="2" t="s">
        <v>37</v>
      </c>
      <c r="D456" s="2" t="s">
        <v>17</v>
      </c>
      <c r="E456" s="3">
        <v>44952</v>
      </c>
      <c r="F456" s="3">
        <v>44956</v>
      </c>
      <c r="G456" s="4">
        <v>739</v>
      </c>
      <c r="H456" s="4">
        <v>4</v>
      </c>
      <c r="I456" s="2" t="s">
        <v>24</v>
      </c>
      <c r="J456" s="2" t="s">
        <v>25</v>
      </c>
      <c r="K456" s="4">
        <v>2</v>
      </c>
      <c r="L456" s="4">
        <v>171.86</v>
      </c>
      <c r="M456" s="4">
        <v>343.72</v>
      </c>
      <c r="N456" s="2" t="s">
        <v>43</v>
      </c>
    </row>
    <row r="457" spans="1:14" ht="15" x14ac:dyDescent="0.25">
      <c r="A457" s="2" t="s">
        <v>502</v>
      </c>
      <c r="B457" s="2" t="s">
        <v>75</v>
      </c>
      <c r="C457" s="2" t="s">
        <v>34</v>
      </c>
      <c r="D457" s="2" t="s">
        <v>54</v>
      </c>
      <c r="E457" s="3">
        <v>44930</v>
      </c>
      <c r="F457" s="3">
        <v>44933</v>
      </c>
      <c r="G457" s="4">
        <v>290</v>
      </c>
      <c r="H457" s="4">
        <v>3</v>
      </c>
      <c r="I457" s="2" t="s">
        <v>30</v>
      </c>
      <c r="J457" s="2" t="s">
        <v>25</v>
      </c>
      <c r="K457" s="4">
        <v>3</v>
      </c>
      <c r="L457" s="4">
        <v>161.4</v>
      </c>
      <c r="M457" s="4">
        <v>484.2</v>
      </c>
      <c r="N457" s="2" t="s">
        <v>43</v>
      </c>
    </row>
    <row r="458" spans="1:14" ht="15" x14ac:dyDescent="0.25">
      <c r="A458" s="2" t="s">
        <v>503</v>
      </c>
      <c r="B458" s="2" t="s">
        <v>28</v>
      </c>
      <c r="C458" s="2" t="s">
        <v>16</v>
      </c>
      <c r="D458" s="2" t="s">
        <v>35</v>
      </c>
      <c r="E458" s="3">
        <v>44946</v>
      </c>
      <c r="F458" s="3">
        <v>44949</v>
      </c>
      <c r="G458" s="4">
        <v>678</v>
      </c>
      <c r="H458" s="4">
        <v>3</v>
      </c>
      <c r="I458" s="2" t="s">
        <v>24</v>
      </c>
      <c r="J458" s="2" t="s">
        <v>19</v>
      </c>
      <c r="K458" s="4">
        <v>4</v>
      </c>
      <c r="L458" s="4">
        <v>78.14</v>
      </c>
      <c r="M458" s="4">
        <v>312.56</v>
      </c>
      <c r="N458" s="2" t="s">
        <v>43</v>
      </c>
    </row>
    <row r="459" spans="1:14" ht="15" x14ac:dyDescent="0.25">
      <c r="A459" s="2" t="s">
        <v>504</v>
      </c>
      <c r="B459" s="2" t="s">
        <v>22</v>
      </c>
      <c r="C459" s="2" t="s">
        <v>61</v>
      </c>
      <c r="D459" s="2" t="s">
        <v>23</v>
      </c>
      <c r="E459" s="3">
        <v>44959</v>
      </c>
      <c r="F459" s="3">
        <v>44968</v>
      </c>
      <c r="G459" s="4">
        <v>615</v>
      </c>
      <c r="H459" s="4">
        <v>9</v>
      </c>
      <c r="I459" s="2" t="s">
        <v>30</v>
      </c>
      <c r="J459" s="2" t="s">
        <v>25</v>
      </c>
      <c r="K459" s="4">
        <v>3</v>
      </c>
      <c r="L459" s="4">
        <v>256.52</v>
      </c>
      <c r="M459" s="4">
        <v>769.56</v>
      </c>
      <c r="N459" s="2" t="s">
        <v>43</v>
      </c>
    </row>
    <row r="460" spans="1:14" ht="15" x14ac:dyDescent="0.25">
      <c r="A460" s="2" t="s">
        <v>505</v>
      </c>
      <c r="B460" s="2" t="s">
        <v>28</v>
      </c>
      <c r="C460" s="2" t="s">
        <v>61</v>
      </c>
      <c r="D460" s="2" t="s">
        <v>35</v>
      </c>
      <c r="E460" s="3">
        <v>44940</v>
      </c>
      <c r="F460" s="3">
        <v>44946</v>
      </c>
      <c r="G460" s="4">
        <v>541</v>
      </c>
      <c r="H460" s="4">
        <v>6</v>
      </c>
      <c r="I460" s="2" t="s">
        <v>42</v>
      </c>
      <c r="J460" s="2" t="s">
        <v>19</v>
      </c>
      <c r="K460" s="4">
        <v>1</v>
      </c>
      <c r="L460" s="4">
        <v>379.73</v>
      </c>
      <c r="M460" s="4">
        <v>379.73</v>
      </c>
      <c r="N460" s="2" t="s">
        <v>20</v>
      </c>
    </row>
    <row r="461" spans="1:14" ht="15" x14ac:dyDescent="0.25">
      <c r="A461" s="2" t="s">
        <v>506</v>
      </c>
      <c r="B461" s="2" t="s">
        <v>53</v>
      </c>
      <c r="C461" s="2" t="s">
        <v>61</v>
      </c>
      <c r="D461" s="2" t="s">
        <v>47</v>
      </c>
      <c r="E461" s="3">
        <v>45102</v>
      </c>
      <c r="F461" s="3">
        <v>45111</v>
      </c>
      <c r="G461" s="4">
        <v>914</v>
      </c>
      <c r="H461" s="4">
        <v>9</v>
      </c>
      <c r="I461" s="2" t="s">
        <v>55</v>
      </c>
      <c r="J461" s="2" t="s">
        <v>49</v>
      </c>
      <c r="K461" s="4">
        <v>2</v>
      </c>
      <c r="L461" s="4">
        <v>323.02999999999997</v>
      </c>
      <c r="M461" s="4">
        <v>646.05999999999995</v>
      </c>
      <c r="N461" s="2" t="s">
        <v>43</v>
      </c>
    </row>
    <row r="462" spans="1:14" ht="15" x14ac:dyDescent="0.25">
      <c r="A462" s="2" t="s">
        <v>507</v>
      </c>
      <c r="B462" s="2" t="s">
        <v>28</v>
      </c>
      <c r="C462" s="2" t="s">
        <v>16</v>
      </c>
      <c r="D462" s="2" t="s">
        <v>23</v>
      </c>
      <c r="E462" s="3">
        <v>45138</v>
      </c>
      <c r="F462" s="3">
        <v>45143</v>
      </c>
      <c r="G462" s="4">
        <v>905</v>
      </c>
      <c r="H462" s="4">
        <v>5</v>
      </c>
      <c r="I462" s="2" t="s">
        <v>30</v>
      </c>
      <c r="J462" s="2" t="s">
        <v>19</v>
      </c>
      <c r="K462" s="4">
        <v>2</v>
      </c>
      <c r="L462" s="4">
        <v>352.79</v>
      </c>
      <c r="M462" s="4">
        <v>705.58</v>
      </c>
      <c r="N462" s="2" t="s">
        <v>43</v>
      </c>
    </row>
    <row r="463" spans="1:14" ht="15" x14ac:dyDescent="0.25">
      <c r="A463" s="2" t="s">
        <v>508</v>
      </c>
      <c r="B463" s="2" t="s">
        <v>53</v>
      </c>
      <c r="C463" s="2" t="s">
        <v>16</v>
      </c>
      <c r="D463" s="2" t="s">
        <v>47</v>
      </c>
      <c r="E463" s="3">
        <v>45026</v>
      </c>
      <c r="F463" s="3">
        <v>45028</v>
      </c>
      <c r="G463" s="4">
        <v>242</v>
      </c>
      <c r="H463" s="4">
        <v>2</v>
      </c>
      <c r="I463" s="2" t="s">
        <v>51</v>
      </c>
      <c r="J463" s="2" t="s">
        <v>49</v>
      </c>
      <c r="K463" s="4">
        <v>2</v>
      </c>
      <c r="L463" s="4">
        <v>86.52</v>
      </c>
      <c r="M463" s="4">
        <v>173.04</v>
      </c>
      <c r="N463" s="2" t="s">
        <v>43</v>
      </c>
    </row>
    <row r="464" spans="1:14" ht="15" x14ac:dyDescent="0.25">
      <c r="A464" s="2" t="s">
        <v>509</v>
      </c>
      <c r="B464" s="2" t="s">
        <v>28</v>
      </c>
      <c r="C464" s="2" t="s">
        <v>34</v>
      </c>
      <c r="D464" s="2" t="s">
        <v>35</v>
      </c>
      <c r="E464" s="3">
        <v>45072</v>
      </c>
      <c r="F464" s="3">
        <v>45080</v>
      </c>
      <c r="G464" s="4">
        <v>290</v>
      </c>
      <c r="H464" s="4">
        <v>8</v>
      </c>
      <c r="I464" s="2" t="s">
        <v>30</v>
      </c>
      <c r="J464" s="2" t="s">
        <v>57</v>
      </c>
      <c r="K464" s="4">
        <v>4</v>
      </c>
      <c r="L464" s="4">
        <v>478.17</v>
      </c>
      <c r="M464" s="4">
        <v>1912.68</v>
      </c>
      <c r="N464" s="2" t="s">
        <v>26</v>
      </c>
    </row>
    <row r="465" spans="1:14" ht="15" x14ac:dyDescent="0.25">
      <c r="A465" s="2" t="s">
        <v>510</v>
      </c>
      <c r="B465" s="2" t="s">
        <v>75</v>
      </c>
      <c r="C465" s="2" t="s">
        <v>46</v>
      </c>
      <c r="D465" s="2" t="s">
        <v>47</v>
      </c>
      <c r="E465" s="3">
        <v>44960</v>
      </c>
      <c r="F465" s="3">
        <v>44965</v>
      </c>
      <c r="G465" s="4">
        <v>632</v>
      </c>
      <c r="H465" s="4">
        <v>5</v>
      </c>
      <c r="I465" s="2" t="s">
        <v>51</v>
      </c>
      <c r="J465" s="2" t="s">
        <v>49</v>
      </c>
      <c r="K465" s="4">
        <v>4</v>
      </c>
      <c r="L465" s="4">
        <v>427.32</v>
      </c>
      <c r="M465" s="4">
        <v>1709.28</v>
      </c>
      <c r="N465" s="2" t="s">
        <v>31</v>
      </c>
    </row>
    <row r="466" spans="1:14" ht="15" x14ac:dyDescent="0.25">
      <c r="A466" s="2" t="s">
        <v>511</v>
      </c>
      <c r="B466" s="2" t="s">
        <v>53</v>
      </c>
      <c r="C466" s="2" t="s">
        <v>29</v>
      </c>
      <c r="D466" s="2" t="s">
        <v>17</v>
      </c>
      <c r="E466" s="3">
        <v>45049</v>
      </c>
      <c r="F466" s="3">
        <v>45051</v>
      </c>
      <c r="G466" s="4">
        <v>326</v>
      </c>
      <c r="H466" s="4">
        <v>2</v>
      </c>
      <c r="I466" s="2" t="s">
        <v>42</v>
      </c>
      <c r="J466" s="2" t="s">
        <v>39</v>
      </c>
      <c r="K466" s="4">
        <v>2</v>
      </c>
      <c r="L466" s="4">
        <v>412.29</v>
      </c>
      <c r="M466" s="4">
        <v>824.58</v>
      </c>
      <c r="N466" s="2" t="s">
        <v>26</v>
      </c>
    </row>
    <row r="467" spans="1:14" ht="15" x14ac:dyDescent="0.25">
      <c r="A467" s="2" t="s">
        <v>512</v>
      </c>
      <c r="B467" s="2" t="s">
        <v>45</v>
      </c>
      <c r="C467" s="2" t="s">
        <v>29</v>
      </c>
      <c r="D467" s="2" t="s">
        <v>47</v>
      </c>
      <c r="E467" s="3">
        <v>45117</v>
      </c>
      <c r="F467" s="3">
        <v>45121</v>
      </c>
      <c r="G467" s="4">
        <v>412</v>
      </c>
      <c r="H467" s="4">
        <v>4</v>
      </c>
      <c r="I467" s="2" t="s">
        <v>42</v>
      </c>
      <c r="J467" s="2" t="s">
        <v>25</v>
      </c>
      <c r="K467" s="4">
        <v>3</v>
      </c>
      <c r="L467" s="4">
        <v>420.34</v>
      </c>
      <c r="M467" s="4">
        <v>1261.02</v>
      </c>
      <c r="N467" s="2" t="s">
        <v>20</v>
      </c>
    </row>
    <row r="468" spans="1:14" ht="15" x14ac:dyDescent="0.25">
      <c r="A468" s="2" t="s">
        <v>513</v>
      </c>
      <c r="B468" s="2" t="s">
        <v>22</v>
      </c>
      <c r="C468" s="2" t="s">
        <v>37</v>
      </c>
      <c r="D468" s="2" t="s">
        <v>54</v>
      </c>
      <c r="E468" s="3">
        <v>45194</v>
      </c>
      <c r="F468" s="3">
        <v>45203</v>
      </c>
      <c r="G468" s="4">
        <v>728</v>
      </c>
      <c r="H468" s="4">
        <v>9</v>
      </c>
      <c r="I468" s="2" t="s">
        <v>51</v>
      </c>
      <c r="J468" s="2" t="s">
        <v>49</v>
      </c>
      <c r="K468" s="4">
        <v>2</v>
      </c>
      <c r="L468" s="4">
        <v>469.72</v>
      </c>
      <c r="M468" s="4">
        <v>939.44</v>
      </c>
      <c r="N468" s="2" t="s">
        <v>26</v>
      </c>
    </row>
    <row r="469" spans="1:14" ht="15" x14ac:dyDescent="0.25">
      <c r="A469" s="2" t="s">
        <v>514</v>
      </c>
      <c r="B469" s="2" t="s">
        <v>53</v>
      </c>
      <c r="C469" s="2" t="s">
        <v>76</v>
      </c>
      <c r="D469" s="2" t="s">
        <v>54</v>
      </c>
      <c r="E469" s="3">
        <v>44928</v>
      </c>
      <c r="F469" s="3">
        <v>44932</v>
      </c>
      <c r="G469" s="4">
        <v>401</v>
      </c>
      <c r="H469" s="4">
        <v>4</v>
      </c>
      <c r="I469" s="2" t="s">
        <v>42</v>
      </c>
      <c r="J469" s="2" t="s">
        <v>57</v>
      </c>
      <c r="K469" s="4">
        <v>3</v>
      </c>
      <c r="L469" s="4">
        <v>294.91000000000003</v>
      </c>
      <c r="M469" s="4">
        <v>884.73</v>
      </c>
      <c r="N469" s="2" t="s">
        <v>31</v>
      </c>
    </row>
    <row r="470" spans="1:14" ht="15" x14ac:dyDescent="0.25">
      <c r="A470" s="2" t="s">
        <v>515</v>
      </c>
      <c r="B470" s="2" t="s">
        <v>15</v>
      </c>
      <c r="C470" s="2" t="s">
        <v>34</v>
      </c>
      <c r="D470" s="2" t="s">
        <v>35</v>
      </c>
      <c r="E470" s="3">
        <v>45097</v>
      </c>
      <c r="F470" s="3">
        <v>45101</v>
      </c>
      <c r="G470" s="4">
        <v>753</v>
      </c>
      <c r="H470" s="4">
        <v>4</v>
      </c>
      <c r="I470" s="2" t="s">
        <v>30</v>
      </c>
      <c r="J470" s="2" t="s">
        <v>49</v>
      </c>
      <c r="K470" s="4">
        <v>3</v>
      </c>
      <c r="L470" s="4">
        <v>140.13</v>
      </c>
      <c r="M470" s="4">
        <v>420.39</v>
      </c>
      <c r="N470" s="2" t="s">
        <v>26</v>
      </c>
    </row>
    <row r="471" spans="1:14" ht="15" x14ac:dyDescent="0.25">
      <c r="A471" s="2" t="s">
        <v>516</v>
      </c>
      <c r="B471" s="2" t="s">
        <v>53</v>
      </c>
      <c r="C471" s="2" t="s">
        <v>46</v>
      </c>
      <c r="D471" s="2" t="s">
        <v>35</v>
      </c>
      <c r="E471" s="3">
        <v>45035</v>
      </c>
      <c r="F471" s="3">
        <v>45037</v>
      </c>
      <c r="G471" s="4">
        <v>559</v>
      </c>
      <c r="H471" s="4">
        <v>2</v>
      </c>
      <c r="I471" s="2" t="s">
        <v>42</v>
      </c>
      <c r="J471" s="2" t="s">
        <v>25</v>
      </c>
      <c r="K471" s="4">
        <v>4</v>
      </c>
      <c r="L471" s="4">
        <v>327.55</v>
      </c>
      <c r="M471" s="4">
        <v>1310.2</v>
      </c>
      <c r="N471" s="2" t="s">
        <v>31</v>
      </c>
    </row>
    <row r="472" spans="1:14" ht="15" x14ac:dyDescent="0.25">
      <c r="A472" s="2" t="s">
        <v>517</v>
      </c>
      <c r="B472" s="2" t="s">
        <v>53</v>
      </c>
      <c r="C472" s="2" t="s">
        <v>37</v>
      </c>
      <c r="D472" s="2" t="s">
        <v>17</v>
      </c>
      <c r="E472" s="3">
        <v>45238</v>
      </c>
      <c r="F472" s="3">
        <v>45244</v>
      </c>
      <c r="G472" s="4">
        <v>500</v>
      </c>
      <c r="H472" s="4">
        <v>6</v>
      </c>
      <c r="I472" s="2" t="s">
        <v>55</v>
      </c>
      <c r="J472" s="2" t="s">
        <v>19</v>
      </c>
      <c r="K472" s="4">
        <v>3</v>
      </c>
      <c r="L472" s="4">
        <v>384.3</v>
      </c>
      <c r="M472" s="4">
        <v>1152.9000000000001</v>
      </c>
      <c r="N472" s="2" t="s">
        <v>31</v>
      </c>
    </row>
    <row r="473" spans="1:14" ht="15" x14ac:dyDescent="0.25">
      <c r="A473" s="2" t="s">
        <v>518</v>
      </c>
      <c r="B473" s="2" t="s">
        <v>28</v>
      </c>
      <c r="C473" s="2" t="s">
        <v>37</v>
      </c>
      <c r="D473" s="2" t="s">
        <v>54</v>
      </c>
      <c r="E473" s="3">
        <v>45188</v>
      </c>
      <c r="F473" s="3">
        <v>45190</v>
      </c>
      <c r="G473" s="4">
        <v>650</v>
      </c>
      <c r="H473" s="4">
        <v>2</v>
      </c>
      <c r="I473" s="2" t="s">
        <v>18</v>
      </c>
      <c r="J473" s="2" t="s">
        <v>57</v>
      </c>
      <c r="K473" s="4">
        <v>2</v>
      </c>
      <c r="L473" s="4">
        <v>382.06</v>
      </c>
      <c r="M473" s="4">
        <v>764.12</v>
      </c>
      <c r="N473" s="2" t="s">
        <v>26</v>
      </c>
    </row>
    <row r="474" spans="1:14" ht="15" x14ac:dyDescent="0.25">
      <c r="A474" s="2" t="s">
        <v>519</v>
      </c>
      <c r="B474" s="2" t="s">
        <v>33</v>
      </c>
      <c r="C474" s="2" t="s">
        <v>34</v>
      </c>
      <c r="D474" s="2" t="s">
        <v>23</v>
      </c>
      <c r="E474" s="3">
        <v>45142</v>
      </c>
      <c r="F474" s="3">
        <v>45149</v>
      </c>
      <c r="G474" s="4">
        <v>492</v>
      </c>
      <c r="H474" s="4">
        <v>7</v>
      </c>
      <c r="I474" s="2" t="s">
        <v>42</v>
      </c>
      <c r="J474" s="2" t="s">
        <v>57</v>
      </c>
      <c r="K474" s="4">
        <v>4</v>
      </c>
      <c r="L474" s="4">
        <v>284.64999999999998</v>
      </c>
      <c r="M474" s="4">
        <v>1138.5999999999999</v>
      </c>
      <c r="N474" s="2" t="s">
        <v>31</v>
      </c>
    </row>
    <row r="475" spans="1:14" ht="15" x14ac:dyDescent="0.25">
      <c r="A475" s="2" t="s">
        <v>520</v>
      </c>
      <c r="B475" s="2" t="s">
        <v>41</v>
      </c>
      <c r="C475" s="2" t="s">
        <v>34</v>
      </c>
      <c r="D475" s="2" t="s">
        <v>54</v>
      </c>
      <c r="E475" s="3">
        <v>45028</v>
      </c>
      <c r="F475" s="3">
        <v>45031</v>
      </c>
      <c r="G475" s="4">
        <v>966</v>
      </c>
      <c r="H475" s="4">
        <v>3</v>
      </c>
      <c r="I475" s="2" t="s">
        <v>30</v>
      </c>
      <c r="J475" s="2" t="s">
        <v>19</v>
      </c>
      <c r="K475" s="4">
        <v>1</v>
      </c>
      <c r="L475" s="4">
        <v>80.81</v>
      </c>
      <c r="M475" s="4">
        <v>80.81</v>
      </c>
      <c r="N475" s="2" t="s">
        <v>20</v>
      </c>
    </row>
    <row r="476" spans="1:14" ht="15" x14ac:dyDescent="0.25">
      <c r="A476" s="2" t="s">
        <v>521</v>
      </c>
      <c r="B476" s="2" t="s">
        <v>33</v>
      </c>
      <c r="C476" s="2" t="s">
        <v>29</v>
      </c>
      <c r="D476" s="2" t="s">
        <v>23</v>
      </c>
      <c r="E476" s="3">
        <v>45259</v>
      </c>
      <c r="F476" s="3">
        <v>45262</v>
      </c>
      <c r="G476" s="4">
        <v>863</v>
      </c>
      <c r="H476" s="4">
        <v>3</v>
      </c>
      <c r="I476" s="2" t="s">
        <v>30</v>
      </c>
      <c r="J476" s="2" t="s">
        <v>49</v>
      </c>
      <c r="K476" s="4">
        <v>1</v>
      </c>
      <c r="L476" s="4">
        <v>217</v>
      </c>
      <c r="M476" s="4">
        <v>217</v>
      </c>
      <c r="N476" s="2" t="s">
        <v>20</v>
      </c>
    </row>
    <row r="477" spans="1:14" ht="15" x14ac:dyDescent="0.25">
      <c r="A477" s="2" t="s">
        <v>522</v>
      </c>
      <c r="B477" s="2" t="s">
        <v>45</v>
      </c>
      <c r="C477" s="2" t="s">
        <v>46</v>
      </c>
      <c r="D477" s="2" t="s">
        <v>47</v>
      </c>
      <c r="E477" s="3">
        <v>44943</v>
      </c>
      <c r="F477" s="3">
        <v>44948</v>
      </c>
      <c r="G477" s="4">
        <v>944</v>
      </c>
      <c r="H477" s="4">
        <v>5</v>
      </c>
      <c r="I477" s="2" t="s">
        <v>63</v>
      </c>
      <c r="J477" s="2" t="s">
        <v>57</v>
      </c>
      <c r="K477" s="4">
        <v>4</v>
      </c>
      <c r="L477" s="4">
        <v>464.34</v>
      </c>
      <c r="M477" s="4">
        <v>1857.36</v>
      </c>
      <c r="N477" s="2" t="s">
        <v>31</v>
      </c>
    </row>
    <row r="478" spans="1:14" ht="15" x14ac:dyDescent="0.25">
      <c r="A478" s="2" t="s">
        <v>523</v>
      </c>
      <c r="B478" s="2" t="s">
        <v>53</v>
      </c>
      <c r="C478" s="2" t="s">
        <v>29</v>
      </c>
      <c r="D478" s="2" t="s">
        <v>23</v>
      </c>
      <c r="E478" s="3">
        <v>44966</v>
      </c>
      <c r="F478" s="3">
        <v>44969</v>
      </c>
      <c r="G478" s="4">
        <v>306</v>
      </c>
      <c r="H478" s="4">
        <v>3</v>
      </c>
      <c r="I478" s="2" t="s">
        <v>63</v>
      </c>
      <c r="J478" s="2" t="s">
        <v>49</v>
      </c>
      <c r="K478" s="4">
        <v>2</v>
      </c>
      <c r="L478" s="4">
        <v>313</v>
      </c>
      <c r="M478" s="4">
        <v>626</v>
      </c>
      <c r="N478" s="2" t="s">
        <v>31</v>
      </c>
    </row>
    <row r="479" spans="1:14" ht="15" x14ac:dyDescent="0.25">
      <c r="A479" s="2" t="s">
        <v>524</v>
      </c>
      <c r="B479" s="2" t="s">
        <v>15</v>
      </c>
      <c r="C479" s="2" t="s">
        <v>76</v>
      </c>
      <c r="D479" s="2" t="s">
        <v>35</v>
      </c>
      <c r="E479" s="3">
        <v>45069</v>
      </c>
      <c r="F479" s="3">
        <v>45071</v>
      </c>
      <c r="G479" s="4">
        <v>309</v>
      </c>
      <c r="H479" s="4">
        <v>2</v>
      </c>
      <c r="I479" s="2" t="s">
        <v>18</v>
      </c>
      <c r="J479" s="2" t="s">
        <v>39</v>
      </c>
      <c r="K479" s="4">
        <v>1</v>
      </c>
      <c r="L479" s="4">
        <v>292.25</v>
      </c>
      <c r="M479" s="4">
        <v>292.25</v>
      </c>
      <c r="N479" s="2" t="s">
        <v>43</v>
      </c>
    </row>
    <row r="480" spans="1:14" ht="15" x14ac:dyDescent="0.25">
      <c r="A480" s="2" t="s">
        <v>525</v>
      </c>
      <c r="B480" s="2" t="s">
        <v>53</v>
      </c>
      <c r="C480" s="2" t="s">
        <v>34</v>
      </c>
      <c r="D480" s="2" t="s">
        <v>35</v>
      </c>
      <c r="E480" s="3">
        <v>44972</v>
      </c>
      <c r="F480" s="3">
        <v>44981</v>
      </c>
      <c r="G480" s="4">
        <v>214</v>
      </c>
      <c r="H480" s="4">
        <v>9</v>
      </c>
      <c r="I480" s="2" t="s">
        <v>42</v>
      </c>
      <c r="J480" s="2" t="s">
        <v>19</v>
      </c>
      <c r="K480" s="4">
        <v>1</v>
      </c>
      <c r="L480" s="4">
        <v>170.98</v>
      </c>
      <c r="M480" s="4">
        <v>170.98</v>
      </c>
      <c r="N480" s="2" t="s">
        <v>20</v>
      </c>
    </row>
    <row r="481" spans="1:14" ht="15" x14ac:dyDescent="0.25">
      <c r="A481" s="2" t="s">
        <v>526</v>
      </c>
      <c r="B481" s="2" t="s">
        <v>22</v>
      </c>
      <c r="C481" s="2" t="s">
        <v>29</v>
      </c>
      <c r="D481" s="2" t="s">
        <v>47</v>
      </c>
      <c r="E481" s="3">
        <v>45276</v>
      </c>
      <c r="F481" s="3">
        <v>45278</v>
      </c>
      <c r="G481" s="4">
        <v>836</v>
      </c>
      <c r="H481" s="4">
        <v>2</v>
      </c>
      <c r="I481" s="2" t="s">
        <v>24</v>
      </c>
      <c r="J481" s="2" t="s">
        <v>39</v>
      </c>
      <c r="K481" s="4">
        <v>3</v>
      </c>
      <c r="L481" s="4">
        <v>215.8</v>
      </c>
      <c r="M481" s="4">
        <v>647.4</v>
      </c>
      <c r="N481" s="2" t="s">
        <v>20</v>
      </c>
    </row>
    <row r="482" spans="1:14" ht="15" x14ac:dyDescent="0.25">
      <c r="A482" s="2" t="s">
        <v>527</v>
      </c>
      <c r="B482" s="2" t="s">
        <v>22</v>
      </c>
      <c r="C482" s="2" t="s">
        <v>16</v>
      </c>
      <c r="D482" s="2" t="s">
        <v>35</v>
      </c>
      <c r="E482" s="3">
        <v>45218</v>
      </c>
      <c r="F482" s="3">
        <v>45220</v>
      </c>
      <c r="G482" s="4">
        <v>745</v>
      </c>
      <c r="H482" s="4">
        <v>2</v>
      </c>
      <c r="I482" s="2" t="s">
        <v>30</v>
      </c>
      <c r="J482" s="2" t="s">
        <v>25</v>
      </c>
      <c r="K482" s="4">
        <v>3</v>
      </c>
      <c r="L482" s="4">
        <v>452.91</v>
      </c>
      <c r="M482" s="4">
        <v>1358.73</v>
      </c>
      <c r="N482" s="2" t="s">
        <v>26</v>
      </c>
    </row>
    <row r="483" spans="1:14" ht="15" x14ac:dyDescent="0.25">
      <c r="A483" s="2" t="s">
        <v>528</v>
      </c>
      <c r="B483" s="2" t="s">
        <v>28</v>
      </c>
      <c r="C483" s="2" t="s">
        <v>37</v>
      </c>
      <c r="D483" s="2" t="s">
        <v>23</v>
      </c>
      <c r="E483" s="3">
        <v>45021</v>
      </c>
      <c r="F483" s="3">
        <v>45029</v>
      </c>
      <c r="G483" s="4">
        <v>350</v>
      </c>
      <c r="H483" s="4">
        <v>8</v>
      </c>
      <c r="I483" s="2" t="s">
        <v>18</v>
      </c>
      <c r="J483" s="2" t="s">
        <v>19</v>
      </c>
      <c r="K483" s="4">
        <v>2</v>
      </c>
      <c r="L483" s="4">
        <v>349.91</v>
      </c>
      <c r="M483" s="4">
        <v>699.82</v>
      </c>
      <c r="N483" s="2" t="s">
        <v>26</v>
      </c>
    </row>
    <row r="484" spans="1:14" ht="15" x14ac:dyDescent="0.25">
      <c r="A484" s="2" t="s">
        <v>529</v>
      </c>
      <c r="B484" s="2" t="s">
        <v>45</v>
      </c>
      <c r="C484" s="2" t="s">
        <v>16</v>
      </c>
      <c r="D484" s="2" t="s">
        <v>35</v>
      </c>
      <c r="E484" s="3">
        <v>45141</v>
      </c>
      <c r="F484" s="3">
        <v>45150</v>
      </c>
      <c r="G484" s="4">
        <v>318</v>
      </c>
      <c r="H484" s="4">
        <v>9</v>
      </c>
      <c r="I484" s="2" t="s">
        <v>30</v>
      </c>
      <c r="J484" s="2" t="s">
        <v>57</v>
      </c>
      <c r="K484" s="4">
        <v>4</v>
      </c>
      <c r="L484" s="4">
        <v>404.32</v>
      </c>
      <c r="M484" s="4">
        <v>1617.28</v>
      </c>
      <c r="N484" s="2" t="s">
        <v>20</v>
      </c>
    </row>
    <row r="485" spans="1:14" ht="15" x14ac:dyDescent="0.25">
      <c r="A485" s="2" t="s">
        <v>530</v>
      </c>
      <c r="B485" s="2" t="s">
        <v>45</v>
      </c>
      <c r="C485" s="2" t="s">
        <v>37</v>
      </c>
      <c r="D485" s="2" t="s">
        <v>47</v>
      </c>
      <c r="E485" s="3">
        <v>45285</v>
      </c>
      <c r="F485" s="3">
        <v>45292</v>
      </c>
      <c r="G485" s="4">
        <v>506</v>
      </c>
      <c r="H485" s="4">
        <v>7</v>
      </c>
      <c r="I485" s="2" t="s">
        <v>24</v>
      </c>
      <c r="J485" s="2" t="s">
        <v>49</v>
      </c>
      <c r="K485" s="4">
        <v>2</v>
      </c>
      <c r="L485" s="4">
        <v>254.46</v>
      </c>
      <c r="M485" s="4">
        <v>508.92</v>
      </c>
      <c r="N485" s="2" t="s">
        <v>43</v>
      </c>
    </row>
    <row r="486" spans="1:14" ht="15" x14ac:dyDescent="0.25">
      <c r="A486" s="2" t="s">
        <v>531</v>
      </c>
      <c r="B486" s="2" t="s">
        <v>45</v>
      </c>
      <c r="C486" s="2" t="s">
        <v>16</v>
      </c>
      <c r="D486" s="2" t="s">
        <v>17</v>
      </c>
      <c r="E486" s="3">
        <v>45249</v>
      </c>
      <c r="F486" s="3">
        <v>45252</v>
      </c>
      <c r="G486" s="4">
        <v>542</v>
      </c>
      <c r="H486" s="4">
        <v>3</v>
      </c>
      <c r="I486" s="2" t="s">
        <v>51</v>
      </c>
      <c r="J486" s="2" t="s">
        <v>39</v>
      </c>
      <c r="K486" s="4">
        <v>4</v>
      </c>
      <c r="L486" s="4">
        <v>333.61</v>
      </c>
      <c r="M486" s="4">
        <v>1334.44</v>
      </c>
      <c r="N486" s="2" t="s">
        <v>43</v>
      </c>
    </row>
    <row r="487" spans="1:14" ht="15" x14ac:dyDescent="0.25">
      <c r="A487" s="2" t="s">
        <v>532</v>
      </c>
      <c r="B487" s="2" t="s">
        <v>22</v>
      </c>
      <c r="C487" s="2" t="s">
        <v>16</v>
      </c>
      <c r="D487" s="2" t="s">
        <v>54</v>
      </c>
      <c r="E487" s="3">
        <v>45146</v>
      </c>
      <c r="F487" s="3">
        <v>45155</v>
      </c>
      <c r="G487" s="4">
        <v>702</v>
      </c>
      <c r="H487" s="4">
        <v>9</v>
      </c>
      <c r="I487" s="2" t="s">
        <v>18</v>
      </c>
      <c r="J487" s="2" t="s">
        <v>25</v>
      </c>
      <c r="K487" s="4">
        <v>1</v>
      </c>
      <c r="L487" s="4">
        <v>161.77000000000001</v>
      </c>
      <c r="M487" s="4">
        <v>161.77000000000001</v>
      </c>
      <c r="N487" s="2" t="s">
        <v>31</v>
      </c>
    </row>
    <row r="488" spans="1:14" ht="15" x14ac:dyDescent="0.25">
      <c r="A488" s="2" t="s">
        <v>533</v>
      </c>
      <c r="B488" s="2" t="s">
        <v>28</v>
      </c>
      <c r="C488" s="2" t="s">
        <v>16</v>
      </c>
      <c r="D488" s="2" t="s">
        <v>54</v>
      </c>
      <c r="E488" s="3">
        <v>45256</v>
      </c>
      <c r="F488" s="3">
        <v>45259</v>
      </c>
      <c r="G488" s="4">
        <v>453</v>
      </c>
      <c r="H488" s="4">
        <v>3</v>
      </c>
      <c r="I488" s="2" t="s">
        <v>51</v>
      </c>
      <c r="J488" s="2" t="s">
        <v>39</v>
      </c>
      <c r="K488" s="4">
        <v>3</v>
      </c>
      <c r="L488" s="4">
        <v>367.46</v>
      </c>
      <c r="M488" s="4">
        <v>1102.3800000000001</v>
      </c>
      <c r="N488" s="2" t="s">
        <v>43</v>
      </c>
    </row>
    <row r="489" spans="1:14" ht="15" x14ac:dyDescent="0.25">
      <c r="A489" s="2" t="s">
        <v>534</v>
      </c>
      <c r="B489" s="2" t="s">
        <v>75</v>
      </c>
      <c r="C489" s="2" t="s">
        <v>29</v>
      </c>
      <c r="D489" s="2" t="s">
        <v>54</v>
      </c>
      <c r="E489" s="3">
        <v>45288</v>
      </c>
      <c r="F489" s="3">
        <v>45293</v>
      </c>
      <c r="G489" s="4">
        <v>987</v>
      </c>
      <c r="H489" s="4">
        <v>5</v>
      </c>
      <c r="I489" s="2" t="s">
        <v>55</v>
      </c>
      <c r="J489" s="2" t="s">
        <v>39</v>
      </c>
      <c r="K489" s="4">
        <v>2</v>
      </c>
      <c r="L489" s="4">
        <v>242.42</v>
      </c>
      <c r="M489" s="4">
        <v>484.84</v>
      </c>
      <c r="N489" s="2" t="s">
        <v>31</v>
      </c>
    </row>
    <row r="490" spans="1:14" ht="15" x14ac:dyDescent="0.25">
      <c r="A490" s="2" t="s">
        <v>535</v>
      </c>
      <c r="B490" s="2" t="s">
        <v>75</v>
      </c>
      <c r="C490" s="2" t="s">
        <v>37</v>
      </c>
      <c r="D490" s="2" t="s">
        <v>17</v>
      </c>
      <c r="E490" s="3">
        <v>45198</v>
      </c>
      <c r="F490" s="3">
        <v>45207</v>
      </c>
      <c r="G490" s="4">
        <v>657</v>
      </c>
      <c r="H490" s="4">
        <v>9</v>
      </c>
      <c r="I490" s="2" t="s">
        <v>63</v>
      </c>
      <c r="J490" s="2" t="s">
        <v>57</v>
      </c>
      <c r="K490" s="4">
        <v>2</v>
      </c>
      <c r="L490" s="4">
        <v>249.15</v>
      </c>
      <c r="M490" s="4">
        <v>498.3</v>
      </c>
      <c r="N490" s="2" t="s">
        <v>20</v>
      </c>
    </row>
    <row r="491" spans="1:14" ht="15" x14ac:dyDescent="0.25">
      <c r="A491" s="2" t="s">
        <v>536</v>
      </c>
      <c r="B491" s="2" t="s">
        <v>41</v>
      </c>
      <c r="C491" s="2" t="s">
        <v>61</v>
      </c>
      <c r="D491" s="2" t="s">
        <v>35</v>
      </c>
      <c r="E491" s="3">
        <v>44950</v>
      </c>
      <c r="F491" s="3">
        <v>44953</v>
      </c>
      <c r="G491" s="4">
        <v>649</v>
      </c>
      <c r="H491" s="4">
        <v>3</v>
      </c>
      <c r="I491" s="2" t="s">
        <v>42</v>
      </c>
      <c r="J491" s="2" t="s">
        <v>39</v>
      </c>
      <c r="K491" s="4">
        <v>4</v>
      </c>
      <c r="L491" s="4">
        <v>342.2</v>
      </c>
      <c r="M491" s="4">
        <v>1368.8</v>
      </c>
      <c r="N491" s="2" t="s">
        <v>31</v>
      </c>
    </row>
    <row r="492" spans="1:14" ht="15" x14ac:dyDescent="0.25">
      <c r="A492" s="2" t="s">
        <v>537</v>
      </c>
      <c r="B492" s="2" t="s">
        <v>53</v>
      </c>
      <c r="C492" s="2" t="s">
        <v>16</v>
      </c>
      <c r="D492" s="2" t="s">
        <v>35</v>
      </c>
      <c r="E492" s="3">
        <v>45073</v>
      </c>
      <c r="F492" s="3">
        <v>45080</v>
      </c>
      <c r="G492" s="4">
        <v>241</v>
      </c>
      <c r="H492" s="4">
        <v>7</v>
      </c>
      <c r="I492" s="2" t="s">
        <v>30</v>
      </c>
      <c r="J492" s="2" t="s">
        <v>57</v>
      </c>
      <c r="K492" s="4">
        <v>4</v>
      </c>
      <c r="L492" s="4">
        <v>471.33</v>
      </c>
      <c r="M492" s="4">
        <v>1885.32</v>
      </c>
      <c r="N492" s="2" t="s">
        <v>20</v>
      </c>
    </row>
    <row r="493" spans="1:14" ht="15" x14ac:dyDescent="0.25">
      <c r="A493" s="2" t="s">
        <v>538</v>
      </c>
      <c r="B493" s="2" t="s">
        <v>53</v>
      </c>
      <c r="C493" s="2" t="s">
        <v>29</v>
      </c>
      <c r="D493" s="2" t="s">
        <v>17</v>
      </c>
      <c r="E493" s="3">
        <v>45232</v>
      </c>
      <c r="F493" s="3">
        <v>45233</v>
      </c>
      <c r="G493" s="4">
        <v>711</v>
      </c>
      <c r="H493" s="4">
        <v>1</v>
      </c>
      <c r="I493" s="2" t="s">
        <v>42</v>
      </c>
      <c r="J493" s="2" t="s">
        <v>25</v>
      </c>
      <c r="K493" s="4">
        <v>2</v>
      </c>
      <c r="L493" s="4">
        <v>78.8</v>
      </c>
      <c r="M493" s="4">
        <v>157.6</v>
      </c>
      <c r="N493" s="2" t="s">
        <v>43</v>
      </c>
    </row>
    <row r="494" spans="1:14" ht="15" x14ac:dyDescent="0.25">
      <c r="A494" s="2" t="s">
        <v>539</v>
      </c>
      <c r="B494" s="2" t="s">
        <v>45</v>
      </c>
      <c r="C494" s="2" t="s">
        <v>76</v>
      </c>
      <c r="D494" s="2" t="s">
        <v>17</v>
      </c>
      <c r="E494" s="3">
        <v>45011</v>
      </c>
      <c r="F494" s="3">
        <v>45015</v>
      </c>
      <c r="G494" s="4">
        <v>600</v>
      </c>
      <c r="H494" s="4">
        <v>4</v>
      </c>
      <c r="I494" s="2" t="s">
        <v>18</v>
      </c>
      <c r="J494" s="2" t="s">
        <v>39</v>
      </c>
      <c r="K494" s="4">
        <v>4</v>
      </c>
      <c r="L494" s="4">
        <v>421.13</v>
      </c>
      <c r="M494" s="4">
        <v>1684.52</v>
      </c>
      <c r="N494" s="2" t="s">
        <v>20</v>
      </c>
    </row>
    <row r="495" spans="1:14" ht="15" x14ac:dyDescent="0.25">
      <c r="A495" s="2" t="s">
        <v>540</v>
      </c>
      <c r="B495" s="2" t="s">
        <v>45</v>
      </c>
      <c r="C495" s="2" t="s">
        <v>37</v>
      </c>
      <c r="D495" s="2" t="s">
        <v>47</v>
      </c>
      <c r="E495" s="3">
        <v>45230</v>
      </c>
      <c r="F495" s="3">
        <v>45234</v>
      </c>
      <c r="G495" s="4">
        <v>939</v>
      </c>
      <c r="H495" s="4">
        <v>4</v>
      </c>
      <c r="I495" s="2" t="s">
        <v>30</v>
      </c>
      <c r="J495" s="2" t="s">
        <v>19</v>
      </c>
      <c r="K495" s="4">
        <v>2</v>
      </c>
      <c r="L495" s="4">
        <v>181.57</v>
      </c>
      <c r="M495" s="4">
        <v>363.14</v>
      </c>
      <c r="N495" s="2" t="s">
        <v>20</v>
      </c>
    </row>
    <row r="496" spans="1:14" ht="15" x14ac:dyDescent="0.25">
      <c r="A496" s="2" t="s">
        <v>541</v>
      </c>
      <c r="B496" s="2" t="s">
        <v>15</v>
      </c>
      <c r="C496" s="2" t="s">
        <v>61</v>
      </c>
      <c r="D496" s="2" t="s">
        <v>23</v>
      </c>
      <c r="E496" s="3">
        <v>44970</v>
      </c>
      <c r="F496" s="3">
        <v>44977</v>
      </c>
      <c r="G496" s="4">
        <v>801</v>
      </c>
      <c r="H496" s="4">
        <v>7</v>
      </c>
      <c r="I496" s="2" t="s">
        <v>24</v>
      </c>
      <c r="J496" s="2" t="s">
        <v>25</v>
      </c>
      <c r="K496" s="4">
        <v>2</v>
      </c>
      <c r="L496" s="4">
        <v>249.76</v>
      </c>
      <c r="M496" s="4">
        <v>499.52</v>
      </c>
      <c r="N496" s="2" t="s">
        <v>31</v>
      </c>
    </row>
    <row r="497" spans="1:14" ht="15" x14ac:dyDescent="0.25">
      <c r="A497" s="2" t="s">
        <v>542</v>
      </c>
      <c r="B497" s="2" t="s">
        <v>45</v>
      </c>
      <c r="C497" s="2" t="s">
        <v>34</v>
      </c>
      <c r="D497" s="2" t="s">
        <v>54</v>
      </c>
      <c r="E497" s="3">
        <v>44944</v>
      </c>
      <c r="F497" s="3">
        <v>44952</v>
      </c>
      <c r="G497" s="4">
        <v>646</v>
      </c>
      <c r="H497" s="4">
        <v>8</v>
      </c>
      <c r="I497" s="2" t="s">
        <v>18</v>
      </c>
      <c r="J497" s="2" t="s">
        <v>39</v>
      </c>
      <c r="K497" s="4">
        <v>2</v>
      </c>
      <c r="L497" s="4">
        <v>59.86</v>
      </c>
      <c r="M497" s="4">
        <v>119.72</v>
      </c>
      <c r="N497" s="2" t="s">
        <v>26</v>
      </c>
    </row>
    <row r="498" spans="1:14" ht="15" x14ac:dyDescent="0.25">
      <c r="A498" s="2" t="s">
        <v>543</v>
      </c>
      <c r="B498" s="2" t="s">
        <v>15</v>
      </c>
      <c r="C498" s="2" t="s">
        <v>34</v>
      </c>
      <c r="D498" s="2" t="s">
        <v>17</v>
      </c>
      <c r="E498" s="3">
        <v>45067</v>
      </c>
      <c r="F498" s="3">
        <v>45068</v>
      </c>
      <c r="G498" s="4">
        <v>758</v>
      </c>
      <c r="H498" s="4">
        <v>1</v>
      </c>
      <c r="I498" s="2" t="s">
        <v>24</v>
      </c>
      <c r="J498" s="2" t="s">
        <v>25</v>
      </c>
      <c r="K498" s="4">
        <v>1</v>
      </c>
      <c r="L498" s="4">
        <v>185.47</v>
      </c>
      <c r="M498" s="4">
        <v>185.47</v>
      </c>
      <c r="N498" s="2" t="s">
        <v>31</v>
      </c>
    </row>
    <row r="499" spans="1:14" ht="15" x14ac:dyDescent="0.25">
      <c r="A499" s="2" t="s">
        <v>544</v>
      </c>
      <c r="B499" s="2" t="s">
        <v>75</v>
      </c>
      <c r="C499" s="2" t="s">
        <v>76</v>
      </c>
      <c r="D499" s="2" t="s">
        <v>35</v>
      </c>
      <c r="E499" s="3">
        <v>44940</v>
      </c>
      <c r="F499" s="3">
        <v>44945</v>
      </c>
      <c r="G499" s="4">
        <v>641</v>
      </c>
      <c r="H499" s="4">
        <v>5</v>
      </c>
      <c r="I499" s="2" t="s">
        <v>18</v>
      </c>
      <c r="J499" s="2" t="s">
        <v>49</v>
      </c>
      <c r="K499" s="4">
        <v>4</v>
      </c>
      <c r="L499" s="4">
        <v>276.18</v>
      </c>
      <c r="M499" s="4">
        <v>1104.72</v>
      </c>
      <c r="N499" s="2" t="s">
        <v>31</v>
      </c>
    </row>
    <row r="500" spans="1:14" ht="15" x14ac:dyDescent="0.25">
      <c r="A500" s="2" t="s">
        <v>545</v>
      </c>
      <c r="B500" s="2" t="s">
        <v>33</v>
      </c>
      <c r="C500" s="2" t="s">
        <v>37</v>
      </c>
      <c r="D500" s="2" t="s">
        <v>17</v>
      </c>
      <c r="E500" s="3">
        <v>45276</v>
      </c>
      <c r="F500" s="3">
        <v>45283</v>
      </c>
      <c r="G500" s="4">
        <v>945</v>
      </c>
      <c r="H500" s="4">
        <v>7</v>
      </c>
      <c r="I500" s="2" t="s">
        <v>30</v>
      </c>
      <c r="J500" s="2" t="s">
        <v>25</v>
      </c>
      <c r="K500" s="4">
        <v>3</v>
      </c>
      <c r="L500" s="4">
        <v>75.28</v>
      </c>
      <c r="M500" s="4">
        <v>225.84</v>
      </c>
      <c r="N500" s="2" t="s">
        <v>43</v>
      </c>
    </row>
    <row r="501" spans="1:14" ht="15" x14ac:dyDescent="0.25">
      <c r="A501" s="2" t="s">
        <v>546</v>
      </c>
      <c r="B501" s="2" t="s">
        <v>75</v>
      </c>
      <c r="C501" s="2" t="s">
        <v>61</v>
      </c>
      <c r="D501" s="2" t="s">
        <v>23</v>
      </c>
      <c r="E501" s="3">
        <v>45228</v>
      </c>
      <c r="F501" s="3">
        <v>45232</v>
      </c>
      <c r="G501" s="4">
        <v>606</v>
      </c>
      <c r="H501" s="4">
        <v>4</v>
      </c>
      <c r="I501" s="2" t="s">
        <v>18</v>
      </c>
      <c r="J501" s="2" t="s">
        <v>57</v>
      </c>
      <c r="K501" s="4">
        <v>3</v>
      </c>
      <c r="L501" s="4">
        <v>270.99</v>
      </c>
      <c r="M501" s="4">
        <v>812.97</v>
      </c>
      <c r="N501" s="2" t="s">
        <v>20</v>
      </c>
    </row>
    <row r="502" spans="1:14" ht="15" x14ac:dyDescent="0.25">
      <c r="A502" s="2" t="s">
        <v>547</v>
      </c>
      <c r="B502" s="2" t="s">
        <v>75</v>
      </c>
      <c r="C502" s="2" t="s">
        <v>76</v>
      </c>
      <c r="D502" s="2" t="s">
        <v>35</v>
      </c>
      <c r="E502" s="3">
        <v>45219</v>
      </c>
      <c r="F502" s="3">
        <v>45223</v>
      </c>
      <c r="G502" s="4">
        <v>695</v>
      </c>
      <c r="H502" s="4">
        <v>4</v>
      </c>
      <c r="I502" s="2" t="s">
        <v>55</v>
      </c>
      <c r="J502" s="2" t="s">
        <v>49</v>
      </c>
      <c r="K502" s="4">
        <v>4</v>
      </c>
      <c r="L502" s="4">
        <v>467.2</v>
      </c>
      <c r="M502" s="4">
        <v>1868.8</v>
      </c>
      <c r="N502" s="2" t="s">
        <v>20</v>
      </c>
    </row>
    <row r="503" spans="1:14" ht="15" x14ac:dyDescent="0.25">
      <c r="A503" s="2" t="s">
        <v>548</v>
      </c>
      <c r="B503" s="2" t="s">
        <v>53</v>
      </c>
      <c r="C503" s="2" t="s">
        <v>34</v>
      </c>
      <c r="D503" s="2" t="s">
        <v>17</v>
      </c>
      <c r="E503" s="3">
        <v>45156</v>
      </c>
      <c r="F503" s="3">
        <v>45160</v>
      </c>
      <c r="G503" s="4">
        <v>980</v>
      </c>
      <c r="H503" s="4">
        <v>4</v>
      </c>
      <c r="I503" s="2" t="s">
        <v>55</v>
      </c>
      <c r="J503" s="2" t="s">
        <v>57</v>
      </c>
      <c r="K503" s="4">
        <v>2</v>
      </c>
      <c r="L503" s="4">
        <v>97.43</v>
      </c>
      <c r="M503" s="4">
        <v>194.86</v>
      </c>
      <c r="N503" s="2" t="s">
        <v>26</v>
      </c>
    </row>
    <row r="504" spans="1:14" ht="15" x14ac:dyDescent="0.25">
      <c r="A504" s="2" t="s">
        <v>549</v>
      </c>
      <c r="B504" s="2" t="s">
        <v>22</v>
      </c>
      <c r="C504" s="2" t="s">
        <v>46</v>
      </c>
      <c r="D504" s="2" t="s">
        <v>35</v>
      </c>
      <c r="E504" s="3">
        <v>45005</v>
      </c>
      <c r="F504" s="3">
        <v>45011</v>
      </c>
      <c r="G504" s="4">
        <v>380</v>
      </c>
      <c r="H504" s="4">
        <v>6</v>
      </c>
      <c r="I504" s="2" t="s">
        <v>63</v>
      </c>
      <c r="J504" s="2" t="s">
        <v>57</v>
      </c>
      <c r="K504" s="4">
        <v>3</v>
      </c>
      <c r="L504" s="4">
        <v>394</v>
      </c>
      <c r="M504" s="4">
        <v>1182</v>
      </c>
      <c r="N504" s="2" t="s">
        <v>43</v>
      </c>
    </row>
    <row r="505" spans="1:14" ht="15" x14ac:dyDescent="0.25">
      <c r="A505" s="2" t="s">
        <v>550</v>
      </c>
      <c r="B505" s="2" t="s">
        <v>33</v>
      </c>
      <c r="C505" s="2" t="s">
        <v>34</v>
      </c>
      <c r="D505" s="2" t="s">
        <v>35</v>
      </c>
      <c r="E505" s="3">
        <v>45116</v>
      </c>
      <c r="F505" s="3">
        <v>45123</v>
      </c>
      <c r="G505" s="4">
        <v>523</v>
      </c>
      <c r="H505" s="4">
        <v>7</v>
      </c>
      <c r="I505" s="2" t="s">
        <v>63</v>
      </c>
      <c r="J505" s="2" t="s">
        <v>49</v>
      </c>
      <c r="K505" s="4">
        <v>3</v>
      </c>
      <c r="L505" s="4">
        <v>234.35</v>
      </c>
      <c r="M505" s="4">
        <v>703.05</v>
      </c>
      <c r="N505" s="2" t="s">
        <v>31</v>
      </c>
    </row>
    <row r="506" spans="1:14" ht="15" x14ac:dyDescent="0.25">
      <c r="A506" s="2" t="s">
        <v>551</v>
      </c>
      <c r="B506" s="2" t="s">
        <v>75</v>
      </c>
      <c r="C506" s="2" t="s">
        <v>37</v>
      </c>
      <c r="D506" s="2" t="s">
        <v>35</v>
      </c>
      <c r="E506" s="3">
        <v>45145</v>
      </c>
      <c r="F506" s="3">
        <v>45147</v>
      </c>
      <c r="G506" s="4">
        <v>955</v>
      </c>
      <c r="H506" s="4">
        <v>2</v>
      </c>
      <c r="I506" s="2" t="s">
        <v>51</v>
      </c>
      <c r="J506" s="2" t="s">
        <v>25</v>
      </c>
      <c r="K506" s="4">
        <v>4</v>
      </c>
      <c r="L506" s="4">
        <v>344.83</v>
      </c>
      <c r="M506" s="4">
        <v>1379.32</v>
      </c>
      <c r="N506" s="2" t="s">
        <v>20</v>
      </c>
    </row>
    <row r="507" spans="1:14" ht="15" x14ac:dyDescent="0.25">
      <c r="A507" s="2" t="s">
        <v>552</v>
      </c>
      <c r="B507" s="2" t="s">
        <v>45</v>
      </c>
      <c r="C507" s="2" t="s">
        <v>46</v>
      </c>
      <c r="D507" s="2" t="s">
        <v>17</v>
      </c>
      <c r="E507" s="3">
        <v>45118</v>
      </c>
      <c r="F507" s="3">
        <v>45123</v>
      </c>
      <c r="G507" s="4">
        <v>369</v>
      </c>
      <c r="H507" s="4">
        <v>5</v>
      </c>
      <c r="I507" s="2" t="s">
        <v>63</v>
      </c>
      <c r="J507" s="2" t="s">
        <v>25</v>
      </c>
      <c r="K507" s="4">
        <v>3</v>
      </c>
      <c r="L507" s="4">
        <v>167.11</v>
      </c>
      <c r="M507" s="4">
        <v>501.33</v>
      </c>
      <c r="N507" s="2" t="s">
        <v>31</v>
      </c>
    </row>
    <row r="508" spans="1:14" ht="15" x14ac:dyDescent="0.25">
      <c r="A508" s="2" t="s">
        <v>553</v>
      </c>
      <c r="B508" s="2" t="s">
        <v>28</v>
      </c>
      <c r="C508" s="2" t="s">
        <v>34</v>
      </c>
      <c r="D508" s="2" t="s">
        <v>17</v>
      </c>
      <c r="E508" s="3">
        <v>45021</v>
      </c>
      <c r="F508" s="3">
        <v>45025</v>
      </c>
      <c r="G508" s="4">
        <v>253</v>
      </c>
      <c r="H508" s="4">
        <v>4</v>
      </c>
      <c r="I508" s="2" t="s">
        <v>63</v>
      </c>
      <c r="J508" s="2" t="s">
        <v>49</v>
      </c>
      <c r="K508" s="4">
        <v>2</v>
      </c>
      <c r="L508" s="4">
        <v>121.77</v>
      </c>
      <c r="M508" s="4">
        <v>243.54</v>
      </c>
      <c r="N508" s="2" t="s">
        <v>26</v>
      </c>
    </row>
    <row r="509" spans="1:14" ht="15" x14ac:dyDescent="0.25">
      <c r="A509" s="2" t="s">
        <v>554</v>
      </c>
      <c r="B509" s="2" t="s">
        <v>75</v>
      </c>
      <c r="C509" s="2" t="s">
        <v>34</v>
      </c>
      <c r="D509" s="2" t="s">
        <v>47</v>
      </c>
      <c r="E509" s="3">
        <v>45115</v>
      </c>
      <c r="F509" s="3">
        <v>45118</v>
      </c>
      <c r="G509" s="4">
        <v>713</v>
      </c>
      <c r="H509" s="4">
        <v>3</v>
      </c>
      <c r="I509" s="2" t="s">
        <v>55</v>
      </c>
      <c r="J509" s="2" t="s">
        <v>25</v>
      </c>
      <c r="K509" s="4">
        <v>4</v>
      </c>
      <c r="L509" s="4">
        <v>122.21</v>
      </c>
      <c r="M509" s="4">
        <v>488.84</v>
      </c>
      <c r="N509" s="2" t="s">
        <v>26</v>
      </c>
    </row>
    <row r="510" spans="1:14" ht="15" x14ac:dyDescent="0.25">
      <c r="A510" s="2" t="s">
        <v>555</v>
      </c>
      <c r="B510" s="2" t="s">
        <v>45</v>
      </c>
      <c r="C510" s="2" t="s">
        <v>46</v>
      </c>
      <c r="D510" s="2" t="s">
        <v>54</v>
      </c>
      <c r="E510" s="3">
        <v>45106</v>
      </c>
      <c r="F510" s="3">
        <v>45113</v>
      </c>
      <c r="G510" s="4">
        <v>826</v>
      </c>
      <c r="H510" s="4">
        <v>7</v>
      </c>
      <c r="I510" s="2" t="s">
        <v>18</v>
      </c>
      <c r="J510" s="2" t="s">
        <v>39</v>
      </c>
      <c r="K510" s="4">
        <v>2</v>
      </c>
      <c r="L510" s="4">
        <v>81.72</v>
      </c>
      <c r="M510" s="4">
        <v>163.44</v>
      </c>
      <c r="N510" s="2" t="s">
        <v>43</v>
      </c>
    </row>
    <row r="511" spans="1:14" ht="15" x14ac:dyDescent="0.25">
      <c r="A511" s="2" t="s">
        <v>556</v>
      </c>
      <c r="B511" s="2" t="s">
        <v>41</v>
      </c>
      <c r="C511" s="2" t="s">
        <v>37</v>
      </c>
      <c r="D511" s="2" t="s">
        <v>35</v>
      </c>
      <c r="E511" s="3">
        <v>45290</v>
      </c>
      <c r="F511" s="3">
        <v>45296</v>
      </c>
      <c r="G511" s="4">
        <v>761</v>
      </c>
      <c r="H511" s="4">
        <v>6</v>
      </c>
      <c r="I511" s="2" t="s">
        <v>42</v>
      </c>
      <c r="J511" s="2" t="s">
        <v>25</v>
      </c>
      <c r="K511" s="4">
        <v>3</v>
      </c>
      <c r="L511" s="4">
        <v>133.54</v>
      </c>
      <c r="M511" s="4">
        <v>400.62</v>
      </c>
      <c r="N511" s="2" t="s">
        <v>26</v>
      </c>
    </row>
    <row r="512" spans="1:14" ht="15" x14ac:dyDescent="0.25">
      <c r="A512" s="2" t="s">
        <v>557</v>
      </c>
      <c r="B512" s="2" t="s">
        <v>22</v>
      </c>
      <c r="C512" s="2" t="s">
        <v>16</v>
      </c>
      <c r="D512" s="2" t="s">
        <v>17</v>
      </c>
      <c r="E512" s="3">
        <v>45254</v>
      </c>
      <c r="F512" s="3">
        <v>45261</v>
      </c>
      <c r="G512" s="4">
        <v>182</v>
      </c>
      <c r="H512" s="4">
        <v>7</v>
      </c>
      <c r="I512" s="2" t="s">
        <v>42</v>
      </c>
      <c r="J512" s="2" t="s">
        <v>57</v>
      </c>
      <c r="K512" s="4">
        <v>3</v>
      </c>
      <c r="L512" s="4">
        <v>348.9</v>
      </c>
      <c r="M512" s="4">
        <v>1046.7</v>
      </c>
      <c r="N512" s="2" t="s">
        <v>43</v>
      </c>
    </row>
    <row r="513" spans="1:14" ht="15" x14ac:dyDescent="0.25">
      <c r="A513" s="2" t="s">
        <v>558</v>
      </c>
      <c r="B513" s="2" t="s">
        <v>15</v>
      </c>
      <c r="C513" s="2" t="s">
        <v>37</v>
      </c>
      <c r="D513" s="2" t="s">
        <v>17</v>
      </c>
      <c r="E513" s="3">
        <v>45096</v>
      </c>
      <c r="F513" s="3">
        <v>45101</v>
      </c>
      <c r="G513" s="4">
        <v>721</v>
      </c>
      <c r="H513" s="4">
        <v>5</v>
      </c>
      <c r="I513" s="2" t="s">
        <v>30</v>
      </c>
      <c r="J513" s="2" t="s">
        <v>39</v>
      </c>
      <c r="K513" s="4">
        <v>2</v>
      </c>
      <c r="L513" s="4">
        <v>446.76</v>
      </c>
      <c r="M513" s="4">
        <v>893.52</v>
      </c>
      <c r="N513" s="2" t="s">
        <v>20</v>
      </c>
    </row>
    <row r="514" spans="1:14" ht="15" x14ac:dyDescent="0.25">
      <c r="A514" s="2" t="s">
        <v>559</v>
      </c>
      <c r="B514" s="2" t="s">
        <v>75</v>
      </c>
      <c r="C514" s="2" t="s">
        <v>61</v>
      </c>
      <c r="D514" s="2" t="s">
        <v>47</v>
      </c>
      <c r="E514" s="3">
        <v>45154</v>
      </c>
      <c r="F514" s="3">
        <v>45160</v>
      </c>
      <c r="G514" s="4">
        <v>998</v>
      </c>
      <c r="H514" s="4">
        <v>6</v>
      </c>
      <c r="I514" s="2" t="s">
        <v>55</v>
      </c>
      <c r="J514" s="2" t="s">
        <v>57</v>
      </c>
      <c r="K514" s="4">
        <v>1</v>
      </c>
      <c r="L514" s="4">
        <v>416.36</v>
      </c>
      <c r="M514" s="4">
        <v>416.36</v>
      </c>
      <c r="N514" s="2" t="s">
        <v>26</v>
      </c>
    </row>
    <row r="515" spans="1:14" ht="15" x14ac:dyDescent="0.25">
      <c r="A515" s="2" t="s">
        <v>560</v>
      </c>
      <c r="B515" s="2" t="s">
        <v>15</v>
      </c>
      <c r="C515" s="2" t="s">
        <v>16</v>
      </c>
      <c r="D515" s="2" t="s">
        <v>17</v>
      </c>
      <c r="E515" s="3">
        <v>45199</v>
      </c>
      <c r="F515" s="3">
        <v>45204</v>
      </c>
      <c r="G515" s="4">
        <v>525</v>
      </c>
      <c r="H515" s="4">
        <v>5</v>
      </c>
      <c r="I515" s="2" t="s">
        <v>18</v>
      </c>
      <c r="J515" s="2" t="s">
        <v>57</v>
      </c>
      <c r="K515" s="4">
        <v>3</v>
      </c>
      <c r="L515" s="4">
        <v>358.31</v>
      </c>
      <c r="M515" s="4">
        <v>1074.93</v>
      </c>
      <c r="N515" s="2" t="s">
        <v>43</v>
      </c>
    </row>
    <row r="516" spans="1:14" ht="15" x14ac:dyDescent="0.25">
      <c r="A516" s="2" t="s">
        <v>561</v>
      </c>
      <c r="B516" s="2" t="s">
        <v>53</v>
      </c>
      <c r="C516" s="2" t="s">
        <v>37</v>
      </c>
      <c r="D516" s="2" t="s">
        <v>47</v>
      </c>
      <c r="E516" s="3">
        <v>44939</v>
      </c>
      <c r="F516" s="3">
        <v>44946</v>
      </c>
      <c r="G516" s="4">
        <v>374</v>
      </c>
      <c r="H516" s="4">
        <v>7</v>
      </c>
      <c r="I516" s="2" t="s">
        <v>42</v>
      </c>
      <c r="J516" s="2" t="s">
        <v>49</v>
      </c>
      <c r="K516" s="4">
        <v>1</v>
      </c>
      <c r="L516" s="4">
        <v>99.69</v>
      </c>
      <c r="M516" s="4">
        <v>99.69</v>
      </c>
      <c r="N516" s="2" t="s">
        <v>31</v>
      </c>
    </row>
    <row r="517" spans="1:14" ht="15" x14ac:dyDescent="0.25">
      <c r="A517" s="2" t="s">
        <v>562</v>
      </c>
      <c r="B517" s="2" t="s">
        <v>75</v>
      </c>
      <c r="C517" s="2" t="s">
        <v>46</v>
      </c>
      <c r="D517" s="2" t="s">
        <v>47</v>
      </c>
      <c r="E517" s="3">
        <v>45253</v>
      </c>
      <c r="F517" s="3">
        <v>45255</v>
      </c>
      <c r="G517" s="4">
        <v>812</v>
      </c>
      <c r="H517" s="4">
        <v>2</v>
      </c>
      <c r="I517" s="2" t="s">
        <v>30</v>
      </c>
      <c r="J517" s="2" t="s">
        <v>49</v>
      </c>
      <c r="K517" s="4">
        <v>3</v>
      </c>
      <c r="L517" s="4">
        <v>180.13</v>
      </c>
      <c r="M517" s="4">
        <v>540.39</v>
      </c>
      <c r="N517" s="2" t="s">
        <v>43</v>
      </c>
    </row>
    <row r="518" spans="1:14" ht="15" x14ac:dyDescent="0.25">
      <c r="A518" s="2" t="s">
        <v>563</v>
      </c>
      <c r="B518" s="2" t="s">
        <v>22</v>
      </c>
      <c r="C518" s="2" t="s">
        <v>16</v>
      </c>
      <c r="D518" s="2" t="s">
        <v>47</v>
      </c>
      <c r="E518" s="3">
        <v>45240</v>
      </c>
      <c r="F518" s="3">
        <v>45245</v>
      </c>
      <c r="G518" s="4">
        <v>383</v>
      </c>
      <c r="H518" s="4">
        <v>5</v>
      </c>
      <c r="I518" s="2" t="s">
        <v>51</v>
      </c>
      <c r="J518" s="2" t="s">
        <v>39</v>
      </c>
      <c r="K518" s="4">
        <v>1</v>
      </c>
      <c r="L518" s="4">
        <v>189.41</v>
      </c>
      <c r="M518" s="4">
        <v>189.41</v>
      </c>
      <c r="N518" s="2" t="s">
        <v>31</v>
      </c>
    </row>
    <row r="519" spans="1:14" ht="15" x14ac:dyDescent="0.25">
      <c r="A519" s="2" t="s">
        <v>564</v>
      </c>
      <c r="B519" s="2" t="s">
        <v>45</v>
      </c>
      <c r="C519" s="2" t="s">
        <v>61</v>
      </c>
      <c r="D519" s="2" t="s">
        <v>23</v>
      </c>
      <c r="E519" s="3">
        <v>45093</v>
      </c>
      <c r="F519" s="3">
        <v>45099</v>
      </c>
      <c r="G519" s="4">
        <v>272</v>
      </c>
      <c r="H519" s="4">
        <v>6</v>
      </c>
      <c r="I519" s="2" t="s">
        <v>18</v>
      </c>
      <c r="J519" s="2" t="s">
        <v>49</v>
      </c>
      <c r="K519" s="4">
        <v>1</v>
      </c>
      <c r="L519" s="4">
        <v>162.47999999999999</v>
      </c>
      <c r="M519" s="4">
        <v>162.47999999999999</v>
      </c>
      <c r="N519" s="2" t="s">
        <v>20</v>
      </c>
    </row>
    <row r="520" spans="1:14" ht="15" x14ac:dyDescent="0.25">
      <c r="A520" s="2" t="s">
        <v>565</v>
      </c>
      <c r="B520" s="2" t="s">
        <v>53</v>
      </c>
      <c r="C520" s="2" t="s">
        <v>61</v>
      </c>
      <c r="D520" s="2" t="s">
        <v>54</v>
      </c>
      <c r="E520" s="3">
        <v>45069</v>
      </c>
      <c r="F520" s="3">
        <v>45075</v>
      </c>
      <c r="G520" s="4">
        <v>426</v>
      </c>
      <c r="H520" s="4">
        <v>6</v>
      </c>
      <c r="I520" s="2" t="s">
        <v>24</v>
      </c>
      <c r="J520" s="2" t="s">
        <v>19</v>
      </c>
      <c r="K520" s="4">
        <v>1</v>
      </c>
      <c r="L520" s="4">
        <v>281.75</v>
      </c>
      <c r="M520" s="4">
        <v>281.75</v>
      </c>
      <c r="N520" s="2" t="s">
        <v>26</v>
      </c>
    </row>
    <row r="521" spans="1:14" ht="15" x14ac:dyDescent="0.25">
      <c r="A521" s="2" t="s">
        <v>566</v>
      </c>
      <c r="B521" s="2" t="s">
        <v>33</v>
      </c>
      <c r="C521" s="2" t="s">
        <v>29</v>
      </c>
      <c r="D521" s="2" t="s">
        <v>35</v>
      </c>
      <c r="E521" s="3">
        <v>45026</v>
      </c>
      <c r="F521" s="3">
        <v>45031</v>
      </c>
      <c r="G521" s="4">
        <v>817</v>
      </c>
      <c r="H521" s="4">
        <v>5</v>
      </c>
      <c r="I521" s="2" t="s">
        <v>30</v>
      </c>
      <c r="J521" s="2" t="s">
        <v>49</v>
      </c>
      <c r="K521" s="4">
        <v>2</v>
      </c>
      <c r="L521" s="4">
        <v>291</v>
      </c>
      <c r="M521" s="4">
        <v>582</v>
      </c>
      <c r="N521" s="2" t="s">
        <v>31</v>
      </c>
    </row>
    <row r="522" spans="1:14" ht="15" x14ac:dyDescent="0.25">
      <c r="A522" s="2" t="s">
        <v>567</v>
      </c>
      <c r="B522" s="2" t="s">
        <v>75</v>
      </c>
      <c r="C522" s="2" t="s">
        <v>34</v>
      </c>
      <c r="D522" s="2" t="s">
        <v>23</v>
      </c>
      <c r="E522" s="3">
        <v>45100</v>
      </c>
      <c r="F522" s="3">
        <v>45107</v>
      </c>
      <c r="G522" s="4">
        <v>162</v>
      </c>
      <c r="H522" s="4">
        <v>7</v>
      </c>
      <c r="I522" s="2" t="s">
        <v>42</v>
      </c>
      <c r="J522" s="2" t="s">
        <v>49</v>
      </c>
      <c r="K522" s="4">
        <v>1</v>
      </c>
      <c r="L522" s="4">
        <v>210.6</v>
      </c>
      <c r="M522" s="4">
        <v>210.6</v>
      </c>
      <c r="N522" s="2" t="s">
        <v>26</v>
      </c>
    </row>
    <row r="523" spans="1:14" ht="15" x14ac:dyDescent="0.25">
      <c r="A523" s="2" t="s">
        <v>568</v>
      </c>
      <c r="B523" s="2" t="s">
        <v>33</v>
      </c>
      <c r="C523" s="2" t="s">
        <v>46</v>
      </c>
      <c r="D523" s="2" t="s">
        <v>54</v>
      </c>
      <c r="E523" s="3">
        <v>44943</v>
      </c>
      <c r="F523" s="3">
        <v>44951</v>
      </c>
      <c r="G523" s="4">
        <v>172</v>
      </c>
      <c r="H523" s="4">
        <v>8</v>
      </c>
      <c r="I523" s="2" t="s">
        <v>51</v>
      </c>
      <c r="J523" s="2" t="s">
        <v>25</v>
      </c>
      <c r="K523" s="4">
        <v>1</v>
      </c>
      <c r="L523" s="4">
        <v>209.21</v>
      </c>
      <c r="M523" s="4">
        <v>209.21</v>
      </c>
      <c r="N523" s="2" t="s">
        <v>26</v>
      </c>
    </row>
    <row r="524" spans="1:14" ht="15" x14ac:dyDescent="0.25">
      <c r="A524" s="2" t="s">
        <v>569</v>
      </c>
      <c r="B524" s="2" t="s">
        <v>28</v>
      </c>
      <c r="C524" s="2" t="s">
        <v>61</v>
      </c>
      <c r="D524" s="2" t="s">
        <v>17</v>
      </c>
      <c r="E524" s="3">
        <v>45238</v>
      </c>
      <c r="F524" s="3">
        <v>45245</v>
      </c>
      <c r="G524" s="4">
        <v>862</v>
      </c>
      <c r="H524" s="4">
        <v>7</v>
      </c>
      <c r="I524" s="2" t="s">
        <v>51</v>
      </c>
      <c r="J524" s="2" t="s">
        <v>49</v>
      </c>
      <c r="K524" s="4">
        <v>1</v>
      </c>
      <c r="L524" s="4">
        <v>422.85</v>
      </c>
      <c r="M524" s="4">
        <v>422.85</v>
      </c>
      <c r="N524" s="2" t="s">
        <v>43</v>
      </c>
    </row>
    <row r="525" spans="1:14" ht="15" x14ac:dyDescent="0.25">
      <c r="A525" s="2" t="s">
        <v>570</v>
      </c>
      <c r="B525" s="2" t="s">
        <v>41</v>
      </c>
      <c r="C525" s="2" t="s">
        <v>37</v>
      </c>
      <c r="D525" s="2" t="s">
        <v>35</v>
      </c>
      <c r="E525" s="3">
        <v>44939</v>
      </c>
      <c r="F525" s="3">
        <v>44944</v>
      </c>
      <c r="G525" s="4">
        <v>735</v>
      </c>
      <c r="H525" s="4">
        <v>5</v>
      </c>
      <c r="I525" s="2" t="s">
        <v>51</v>
      </c>
      <c r="J525" s="2" t="s">
        <v>25</v>
      </c>
      <c r="K525" s="4">
        <v>3</v>
      </c>
      <c r="L525" s="4">
        <v>405.18</v>
      </c>
      <c r="M525" s="4">
        <v>1215.54</v>
      </c>
      <c r="N525" s="2" t="s">
        <v>20</v>
      </c>
    </row>
    <row r="526" spans="1:14" ht="15" x14ac:dyDescent="0.25">
      <c r="A526" s="2" t="s">
        <v>571</v>
      </c>
      <c r="B526" s="2" t="s">
        <v>41</v>
      </c>
      <c r="C526" s="2" t="s">
        <v>61</v>
      </c>
      <c r="D526" s="2" t="s">
        <v>23</v>
      </c>
      <c r="E526" s="3">
        <v>45047</v>
      </c>
      <c r="F526" s="3">
        <v>45048</v>
      </c>
      <c r="G526" s="4">
        <v>474</v>
      </c>
      <c r="H526" s="4">
        <v>1</v>
      </c>
      <c r="I526" s="2" t="s">
        <v>55</v>
      </c>
      <c r="J526" s="2" t="s">
        <v>57</v>
      </c>
      <c r="K526" s="4">
        <v>1</v>
      </c>
      <c r="L526" s="4">
        <v>188.51</v>
      </c>
      <c r="M526" s="4">
        <v>188.51</v>
      </c>
      <c r="N526" s="2" t="s">
        <v>26</v>
      </c>
    </row>
    <row r="527" spans="1:14" ht="15" x14ac:dyDescent="0.25">
      <c r="A527" s="2" t="s">
        <v>572</v>
      </c>
      <c r="B527" s="2" t="s">
        <v>28</v>
      </c>
      <c r="C527" s="2" t="s">
        <v>37</v>
      </c>
      <c r="D527" s="2" t="s">
        <v>54</v>
      </c>
      <c r="E527" s="3">
        <v>45267</v>
      </c>
      <c r="F527" s="3">
        <v>45272</v>
      </c>
      <c r="G527" s="4">
        <v>732</v>
      </c>
      <c r="H527" s="4">
        <v>5</v>
      </c>
      <c r="I527" s="2" t="s">
        <v>55</v>
      </c>
      <c r="J527" s="2" t="s">
        <v>39</v>
      </c>
      <c r="K527" s="4">
        <v>3</v>
      </c>
      <c r="L527" s="4">
        <v>461.2</v>
      </c>
      <c r="M527" s="4">
        <v>1383.6</v>
      </c>
      <c r="N527" s="2" t="s">
        <v>26</v>
      </c>
    </row>
    <row r="528" spans="1:14" ht="15" x14ac:dyDescent="0.25">
      <c r="A528" s="2" t="s">
        <v>573</v>
      </c>
      <c r="B528" s="2" t="s">
        <v>15</v>
      </c>
      <c r="C528" s="2" t="s">
        <v>46</v>
      </c>
      <c r="D528" s="2" t="s">
        <v>23</v>
      </c>
      <c r="E528" s="3">
        <v>45195</v>
      </c>
      <c r="F528" s="3">
        <v>45197</v>
      </c>
      <c r="G528" s="4">
        <v>607</v>
      </c>
      <c r="H528" s="4">
        <v>2</v>
      </c>
      <c r="I528" s="2" t="s">
        <v>18</v>
      </c>
      <c r="J528" s="2" t="s">
        <v>49</v>
      </c>
      <c r="K528" s="4">
        <v>1</v>
      </c>
      <c r="L528" s="4">
        <v>478.77</v>
      </c>
      <c r="M528" s="4">
        <v>478.77</v>
      </c>
      <c r="N528" s="2" t="s">
        <v>31</v>
      </c>
    </row>
    <row r="529" spans="1:14" ht="15" x14ac:dyDescent="0.25">
      <c r="A529" s="2" t="s">
        <v>574</v>
      </c>
      <c r="B529" s="2" t="s">
        <v>45</v>
      </c>
      <c r="C529" s="2" t="s">
        <v>61</v>
      </c>
      <c r="D529" s="2" t="s">
        <v>54</v>
      </c>
      <c r="E529" s="3">
        <v>45029</v>
      </c>
      <c r="F529" s="3">
        <v>45034</v>
      </c>
      <c r="G529" s="4">
        <v>886</v>
      </c>
      <c r="H529" s="4">
        <v>5</v>
      </c>
      <c r="I529" s="2" t="s">
        <v>55</v>
      </c>
      <c r="J529" s="2" t="s">
        <v>57</v>
      </c>
      <c r="K529" s="4">
        <v>1</v>
      </c>
      <c r="L529" s="4">
        <v>197.03</v>
      </c>
      <c r="M529" s="4">
        <v>197.03</v>
      </c>
      <c r="N529" s="2" t="s">
        <v>43</v>
      </c>
    </row>
    <row r="530" spans="1:14" ht="15" x14ac:dyDescent="0.25">
      <c r="A530" s="2" t="s">
        <v>161</v>
      </c>
      <c r="B530" s="2" t="s">
        <v>75</v>
      </c>
      <c r="C530" s="2" t="s">
        <v>37</v>
      </c>
      <c r="D530" s="2" t="s">
        <v>35</v>
      </c>
      <c r="E530" s="3">
        <v>45019</v>
      </c>
      <c r="F530" s="3">
        <v>45024</v>
      </c>
      <c r="G530" s="4">
        <v>497</v>
      </c>
      <c r="H530" s="4">
        <v>5</v>
      </c>
      <c r="I530" s="2" t="s">
        <v>30</v>
      </c>
      <c r="J530" s="2" t="s">
        <v>39</v>
      </c>
      <c r="K530" s="4">
        <v>2</v>
      </c>
      <c r="L530" s="4">
        <v>209.49</v>
      </c>
      <c r="M530" s="4">
        <v>418.98</v>
      </c>
      <c r="N530" s="2" t="s">
        <v>43</v>
      </c>
    </row>
    <row r="531" spans="1:14" ht="15" x14ac:dyDescent="0.25">
      <c r="A531" s="2" t="s">
        <v>575</v>
      </c>
      <c r="B531" s="2" t="s">
        <v>75</v>
      </c>
      <c r="C531" s="2" t="s">
        <v>16</v>
      </c>
      <c r="D531" s="2" t="s">
        <v>23</v>
      </c>
      <c r="E531" s="3">
        <v>44928</v>
      </c>
      <c r="F531" s="3">
        <v>44930</v>
      </c>
      <c r="G531" s="4">
        <v>219</v>
      </c>
      <c r="H531" s="4">
        <v>2</v>
      </c>
      <c r="I531" s="2" t="s">
        <v>51</v>
      </c>
      <c r="J531" s="2" t="s">
        <v>39</v>
      </c>
      <c r="K531" s="4">
        <v>3</v>
      </c>
      <c r="L531" s="4">
        <v>277.54000000000002</v>
      </c>
      <c r="M531" s="4">
        <v>832.62</v>
      </c>
      <c r="N531" s="2" t="s">
        <v>43</v>
      </c>
    </row>
    <row r="532" spans="1:14" ht="15" x14ac:dyDescent="0.25">
      <c r="A532" s="2" t="s">
        <v>576</v>
      </c>
      <c r="B532" s="2" t="s">
        <v>15</v>
      </c>
      <c r="C532" s="2" t="s">
        <v>61</v>
      </c>
      <c r="D532" s="2" t="s">
        <v>47</v>
      </c>
      <c r="E532" s="3">
        <v>45180</v>
      </c>
      <c r="F532" s="3">
        <v>45185</v>
      </c>
      <c r="G532" s="4">
        <v>536</v>
      </c>
      <c r="H532" s="4">
        <v>5</v>
      </c>
      <c r="I532" s="2" t="s">
        <v>30</v>
      </c>
      <c r="J532" s="2" t="s">
        <v>39</v>
      </c>
      <c r="K532" s="4">
        <v>1</v>
      </c>
      <c r="L532" s="4">
        <v>473.5</v>
      </c>
      <c r="M532" s="4">
        <v>473.5</v>
      </c>
      <c r="N532" s="2" t="s">
        <v>26</v>
      </c>
    </row>
    <row r="533" spans="1:14" ht="15" x14ac:dyDescent="0.25">
      <c r="A533" s="2" t="s">
        <v>577</v>
      </c>
      <c r="B533" s="2" t="s">
        <v>41</v>
      </c>
      <c r="C533" s="2" t="s">
        <v>34</v>
      </c>
      <c r="D533" s="2" t="s">
        <v>17</v>
      </c>
      <c r="E533" s="3">
        <v>44944</v>
      </c>
      <c r="F533" s="3">
        <v>44948</v>
      </c>
      <c r="G533" s="4">
        <v>928</v>
      </c>
      <c r="H533" s="4">
        <v>4</v>
      </c>
      <c r="I533" s="2" t="s">
        <v>63</v>
      </c>
      <c r="J533" s="2" t="s">
        <v>57</v>
      </c>
      <c r="K533" s="4">
        <v>3</v>
      </c>
      <c r="L533" s="4">
        <v>444.34</v>
      </c>
      <c r="M533" s="4">
        <v>1333.02</v>
      </c>
      <c r="N533" s="2" t="s">
        <v>20</v>
      </c>
    </row>
    <row r="534" spans="1:14" ht="15" x14ac:dyDescent="0.25">
      <c r="A534" s="2" t="s">
        <v>578</v>
      </c>
      <c r="B534" s="2" t="s">
        <v>22</v>
      </c>
      <c r="C534" s="2" t="s">
        <v>37</v>
      </c>
      <c r="D534" s="2" t="s">
        <v>23</v>
      </c>
      <c r="E534" s="3">
        <v>45121</v>
      </c>
      <c r="F534" s="3">
        <v>45122</v>
      </c>
      <c r="G534" s="4">
        <v>775</v>
      </c>
      <c r="H534" s="4">
        <v>1</v>
      </c>
      <c r="I534" s="2" t="s">
        <v>30</v>
      </c>
      <c r="J534" s="2" t="s">
        <v>49</v>
      </c>
      <c r="K534" s="4">
        <v>3</v>
      </c>
      <c r="L534" s="4">
        <v>96.16</v>
      </c>
      <c r="M534" s="4">
        <v>288.48</v>
      </c>
      <c r="N534" s="2" t="s">
        <v>26</v>
      </c>
    </row>
    <row r="535" spans="1:14" ht="15" x14ac:dyDescent="0.25">
      <c r="A535" s="2" t="s">
        <v>579</v>
      </c>
      <c r="B535" s="2" t="s">
        <v>75</v>
      </c>
      <c r="C535" s="2" t="s">
        <v>34</v>
      </c>
      <c r="D535" s="2" t="s">
        <v>54</v>
      </c>
      <c r="E535" s="3">
        <v>45278</v>
      </c>
      <c r="F535" s="3">
        <v>45281</v>
      </c>
      <c r="G535" s="4">
        <v>564</v>
      </c>
      <c r="H535" s="4">
        <v>3</v>
      </c>
      <c r="I535" s="2" t="s">
        <v>18</v>
      </c>
      <c r="J535" s="2" t="s">
        <v>57</v>
      </c>
      <c r="K535" s="4">
        <v>4</v>
      </c>
      <c r="L535" s="4">
        <v>226.73</v>
      </c>
      <c r="M535" s="4">
        <v>906.92</v>
      </c>
      <c r="N535" s="2" t="s">
        <v>26</v>
      </c>
    </row>
    <row r="536" spans="1:14" ht="15" x14ac:dyDescent="0.25">
      <c r="A536" s="2" t="s">
        <v>580</v>
      </c>
      <c r="B536" s="2" t="s">
        <v>22</v>
      </c>
      <c r="C536" s="2" t="s">
        <v>61</v>
      </c>
      <c r="D536" s="2" t="s">
        <v>54</v>
      </c>
      <c r="E536" s="3">
        <v>44966</v>
      </c>
      <c r="F536" s="3">
        <v>44967</v>
      </c>
      <c r="G536" s="4">
        <v>385</v>
      </c>
      <c r="H536" s="4">
        <v>1</v>
      </c>
      <c r="I536" s="2" t="s">
        <v>42</v>
      </c>
      <c r="J536" s="2" t="s">
        <v>39</v>
      </c>
      <c r="K536" s="4">
        <v>2</v>
      </c>
      <c r="L536" s="4">
        <v>299.02</v>
      </c>
      <c r="M536" s="4">
        <v>598.04</v>
      </c>
      <c r="N536" s="2" t="s">
        <v>43</v>
      </c>
    </row>
    <row r="537" spans="1:14" ht="15" x14ac:dyDescent="0.25">
      <c r="A537" s="2" t="s">
        <v>581</v>
      </c>
      <c r="B537" s="2" t="s">
        <v>15</v>
      </c>
      <c r="C537" s="2" t="s">
        <v>46</v>
      </c>
      <c r="D537" s="2" t="s">
        <v>54</v>
      </c>
      <c r="E537" s="3">
        <v>45253</v>
      </c>
      <c r="F537" s="3">
        <v>45258</v>
      </c>
      <c r="G537" s="4">
        <v>364</v>
      </c>
      <c r="H537" s="4">
        <v>5</v>
      </c>
      <c r="I537" s="2" t="s">
        <v>55</v>
      </c>
      <c r="J537" s="2" t="s">
        <v>39</v>
      </c>
      <c r="K537" s="4">
        <v>2</v>
      </c>
      <c r="L537" s="4">
        <v>276.41000000000003</v>
      </c>
      <c r="M537" s="4">
        <v>552.82000000000005</v>
      </c>
      <c r="N537" s="2" t="s">
        <v>43</v>
      </c>
    </row>
    <row r="538" spans="1:14" ht="15" x14ac:dyDescent="0.25">
      <c r="A538" s="2" t="s">
        <v>582</v>
      </c>
      <c r="B538" s="2" t="s">
        <v>15</v>
      </c>
      <c r="C538" s="2" t="s">
        <v>46</v>
      </c>
      <c r="D538" s="2" t="s">
        <v>54</v>
      </c>
      <c r="E538" s="3">
        <v>45288</v>
      </c>
      <c r="F538" s="3">
        <v>45292</v>
      </c>
      <c r="G538" s="4">
        <v>419</v>
      </c>
      <c r="H538" s="4">
        <v>4</v>
      </c>
      <c r="I538" s="2" t="s">
        <v>24</v>
      </c>
      <c r="J538" s="2" t="s">
        <v>49</v>
      </c>
      <c r="K538" s="4">
        <v>2</v>
      </c>
      <c r="L538" s="4">
        <v>137.24</v>
      </c>
      <c r="M538" s="4">
        <v>274.48</v>
      </c>
      <c r="N538" s="2" t="s">
        <v>43</v>
      </c>
    </row>
    <row r="539" spans="1:14" ht="15" x14ac:dyDescent="0.25">
      <c r="A539" s="2" t="s">
        <v>583</v>
      </c>
      <c r="B539" s="2" t="s">
        <v>41</v>
      </c>
      <c r="C539" s="2" t="s">
        <v>29</v>
      </c>
      <c r="D539" s="2" t="s">
        <v>35</v>
      </c>
      <c r="E539" s="3">
        <v>44949</v>
      </c>
      <c r="F539" s="3">
        <v>44956</v>
      </c>
      <c r="G539" s="4">
        <v>772</v>
      </c>
      <c r="H539" s="4">
        <v>7</v>
      </c>
      <c r="I539" s="2" t="s">
        <v>24</v>
      </c>
      <c r="J539" s="2" t="s">
        <v>57</v>
      </c>
      <c r="K539" s="4">
        <v>4</v>
      </c>
      <c r="L539" s="4">
        <v>436.47</v>
      </c>
      <c r="M539" s="4">
        <v>1745.88</v>
      </c>
      <c r="N539" s="2" t="s">
        <v>20</v>
      </c>
    </row>
    <row r="540" spans="1:14" ht="15" x14ac:dyDescent="0.25">
      <c r="A540" s="2" t="s">
        <v>584</v>
      </c>
      <c r="B540" s="2" t="s">
        <v>41</v>
      </c>
      <c r="C540" s="2" t="s">
        <v>61</v>
      </c>
      <c r="D540" s="2" t="s">
        <v>47</v>
      </c>
      <c r="E540" s="3">
        <v>45249</v>
      </c>
      <c r="F540" s="3">
        <v>45254</v>
      </c>
      <c r="G540" s="4">
        <v>475</v>
      </c>
      <c r="H540" s="4">
        <v>5</v>
      </c>
      <c r="I540" s="2" t="s">
        <v>42</v>
      </c>
      <c r="J540" s="2" t="s">
        <v>39</v>
      </c>
      <c r="K540" s="4">
        <v>4</v>
      </c>
      <c r="L540" s="4">
        <v>354.62</v>
      </c>
      <c r="M540" s="4">
        <v>1418.48</v>
      </c>
      <c r="N540" s="2" t="s">
        <v>31</v>
      </c>
    </row>
    <row r="541" spans="1:14" ht="15" x14ac:dyDescent="0.25">
      <c r="A541" s="2" t="s">
        <v>585</v>
      </c>
      <c r="B541" s="2" t="s">
        <v>45</v>
      </c>
      <c r="C541" s="2" t="s">
        <v>61</v>
      </c>
      <c r="D541" s="2" t="s">
        <v>54</v>
      </c>
      <c r="E541" s="3">
        <v>45115</v>
      </c>
      <c r="F541" s="3">
        <v>45119</v>
      </c>
      <c r="G541" s="4">
        <v>919</v>
      </c>
      <c r="H541" s="4">
        <v>4</v>
      </c>
      <c r="I541" s="2" t="s">
        <v>51</v>
      </c>
      <c r="J541" s="2" t="s">
        <v>57</v>
      </c>
      <c r="K541" s="4">
        <v>2</v>
      </c>
      <c r="L541" s="4">
        <v>427.06</v>
      </c>
      <c r="M541" s="4">
        <v>854.12</v>
      </c>
      <c r="N541" s="2" t="s">
        <v>31</v>
      </c>
    </row>
    <row r="542" spans="1:14" ht="15" x14ac:dyDescent="0.25">
      <c r="A542" s="2" t="s">
        <v>586</v>
      </c>
      <c r="B542" s="2" t="s">
        <v>15</v>
      </c>
      <c r="C542" s="2" t="s">
        <v>29</v>
      </c>
      <c r="D542" s="2" t="s">
        <v>54</v>
      </c>
      <c r="E542" s="3">
        <v>45257</v>
      </c>
      <c r="F542" s="3">
        <v>45259</v>
      </c>
      <c r="G542" s="4">
        <v>188</v>
      </c>
      <c r="H542" s="4">
        <v>2</v>
      </c>
      <c r="I542" s="2" t="s">
        <v>51</v>
      </c>
      <c r="J542" s="2" t="s">
        <v>49</v>
      </c>
      <c r="K542" s="4">
        <v>4</v>
      </c>
      <c r="L542" s="4">
        <v>436.44</v>
      </c>
      <c r="M542" s="4">
        <v>1745.76</v>
      </c>
      <c r="N542" s="2" t="s">
        <v>43</v>
      </c>
    </row>
    <row r="543" spans="1:14" ht="15" x14ac:dyDescent="0.25">
      <c r="A543" s="2" t="s">
        <v>587</v>
      </c>
      <c r="B543" s="2" t="s">
        <v>28</v>
      </c>
      <c r="C543" s="2" t="s">
        <v>29</v>
      </c>
      <c r="D543" s="2" t="s">
        <v>54</v>
      </c>
      <c r="E543" s="3">
        <v>45135</v>
      </c>
      <c r="F543" s="3">
        <v>45139</v>
      </c>
      <c r="G543" s="4">
        <v>753</v>
      </c>
      <c r="H543" s="4">
        <v>4</v>
      </c>
      <c r="I543" s="2" t="s">
        <v>55</v>
      </c>
      <c r="J543" s="2" t="s">
        <v>39</v>
      </c>
      <c r="K543" s="4">
        <v>4</v>
      </c>
      <c r="L543" s="4">
        <v>386.76</v>
      </c>
      <c r="M543" s="4">
        <v>1547.04</v>
      </c>
      <c r="N543" s="2" t="s">
        <v>20</v>
      </c>
    </row>
    <row r="544" spans="1:14" ht="15" x14ac:dyDescent="0.25">
      <c r="A544" s="2" t="s">
        <v>588</v>
      </c>
      <c r="B544" s="2" t="s">
        <v>53</v>
      </c>
      <c r="C544" s="2" t="s">
        <v>37</v>
      </c>
      <c r="D544" s="2" t="s">
        <v>23</v>
      </c>
      <c r="E544" s="3">
        <v>45168</v>
      </c>
      <c r="F544" s="3">
        <v>45170</v>
      </c>
      <c r="G544" s="4">
        <v>302</v>
      </c>
      <c r="H544" s="4">
        <v>2</v>
      </c>
      <c r="I544" s="2" t="s">
        <v>42</v>
      </c>
      <c r="J544" s="2" t="s">
        <v>57</v>
      </c>
      <c r="K544" s="4">
        <v>4</v>
      </c>
      <c r="L544" s="4">
        <v>247.64</v>
      </c>
      <c r="M544" s="4">
        <v>990.56</v>
      </c>
      <c r="N544" s="2" t="s">
        <v>20</v>
      </c>
    </row>
    <row r="545" spans="1:14" ht="15" x14ac:dyDescent="0.25">
      <c r="A545" s="2" t="s">
        <v>589</v>
      </c>
      <c r="B545" s="2" t="s">
        <v>53</v>
      </c>
      <c r="C545" s="2" t="s">
        <v>61</v>
      </c>
      <c r="D545" s="2" t="s">
        <v>54</v>
      </c>
      <c r="E545" s="3">
        <v>45125</v>
      </c>
      <c r="F545" s="3">
        <v>45133</v>
      </c>
      <c r="G545" s="4">
        <v>920</v>
      </c>
      <c r="H545" s="4">
        <v>8</v>
      </c>
      <c r="I545" s="2" t="s">
        <v>51</v>
      </c>
      <c r="J545" s="2" t="s">
        <v>57</v>
      </c>
      <c r="K545" s="4">
        <v>2</v>
      </c>
      <c r="L545" s="4">
        <v>324.75</v>
      </c>
      <c r="M545" s="4">
        <v>649.5</v>
      </c>
      <c r="N545" s="2" t="s">
        <v>20</v>
      </c>
    </row>
    <row r="546" spans="1:14" ht="15" x14ac:dyDescent="0.25">
      <c r="A546" s="2" t="s">
        <v>590</v>
      </c>
      <c r="B546" s="2" t="s">
        <v>41</v>
      </c>
      <c r="C546" s="2" t="s">
        <v>29</v>
      </c>
      <c r="D546" s="2" t="s">
        <v>35</v>
      </c>
      <c r="E546" s="3">
        <v>45242</v>
      </c>
      <c r="F546" s="3">
        <v>45245</v>
      </c>
      <c r="G546" s="4">
        <v>838</v>
      </c>
      <c r="H546" s="4">
        <v>3</v>
      </c>
      <c r="I546" s="2" t="s">
        <v>51</v>
      </c>
      <c r="J546" s="2" t="s">
        <v>57</v>
      </c>
      <c r="K546" s="4">
        <v>2</v>
      </c>
      <c r="L546" s="4">
        <v>122.16</v>
      </c>
      <c r="M546" s="4">
        <v>244.32</v>
      </c>
      <c r="N546" s="2" t="s">
        <v>20</v>
      </c>
    </row>
    <row r="547" spans="1:14" ht="15" x14ac:dyDescent="0.25">
      <c r="A547" s="2" t="s">
        <v>591</v>
      </c>
      <c r="B547" s="2" t="s">
        <v>15</v>
      </c>
      <c r="C547" s="2" t="s">
        <v>16</v>
      </c>
      <c r="D547" s="2" t="s">
        <v>54</v>
      </c>
      <c r="E547" s="3">
        <v>45194</v>
      </c>
      <c r="F547" s="3">
        <v>45203</v>
      </c>
      <c r="G547" s="4">
        <v>433</v>
      </c>
      <c r="H547" s="4">
        <v>9</v>
      </c>
      <c r="I547" s="2" t="s">
        <v>51</v>
      </c>
      <c r="J547" s="2" t="s">
        <v>49</v>
      </c>
      <c r="K547" s="4">
        <v>2</v>
      </c>
      <c r="L547" s="4">
        <v>353.14</v>
      </c>
      <c r="M547" s="4">
        <v>706.28</v>
      </c>
      <c r="N547" s="2" t="s">
        <v>20</v>
      </c>
    </row>
    <row r="548" spans="1:14" ht="15" x14ac:dyDescent="0.25">
      <c r="A548" s="2" t="s">
        <v>184</v>
      </c>
      <c r="B548" s="2" t="s">
        <v>41</v>
      </c>
      <c r="C548" s="2" t="s">
        <v>29</v>
      </c>
      <c r="D548" s="2" t="s">
        <v>35</v>
      </c>
      <c r="E548" s="3">
        <v>45117</v>
      </c>
      <c r="F548" s="3">
        <v>45121</v>
      </c>
      <c r="G548" s="4">
        <v>321</v>
      </c>
      <c r="H548" s="4">
        <v>4</v>
      </c>
      <c r="I548" s="2" t="s">
        <v>42</v>
      </c>
      <c r="J548" s="2" t="s">
        <v>25</v>
      </c>
      <c r="K548" s="4">
        <v>4</v>
      </c>
      <c r="L548" s="4">
        <v>130.66</v>
      </c>
      <c r="M548" s="4">
        <v>522.64</v>
      </c>
      <c r="N548" s="2" t="s">
        <v>43</v>
      </c>
    </row>
    <row r="549" spans="1:14" ht="15" x14ac:dyDescent="0.25">
      <c r="A549" s="2" t="s">
        <v>592</v>
      </c>
      <c r="B549" s="2" t="s">
        <v>22</v>
      </c>
      <c r="C549" s="2" t="s">
        <v>37</v>
      </c>
      <c r="D549" s="2" t="s">
        <v>54</v>
      </c>
      <c r="E549" s="3">
        <v>45243</v>
      </c>
      <c r="F549" s="3">
        <v>45249</v>
      </c>
      <c r="G549" s="4">
        <v>140</v>
      </c>
      <c r="H549" s="4">
        <v>6</v>
      </c>
      <c r="I549" s="2" t="s">
        <v>63</v>
      </c>
      <c r="J549" s="2" t="s">
        <v>25</v>
      </c>
      <c r="K549" s="4">
        <v>2</v>
      </c>
      <c r="L549" s="4">
        <v>362.28</v>
      </c>
      <c r="M549" s="4">
        <v>724.56</v>
      </c>
      <c r="N549" s="2" t="s">
        <v>43</v>
      </c>
    </row>
    <row r="550" spans="1:14" ht="15" x14ac:dyDescent="0.25">
      <c r="A550" s="2" t="s">
        <v>593</v>
      </c>
      <c r="B550" s="2" t="s">
        <v>45</v>
      </c>
      <c r="C550" s="2" t="s">
        <v>29</v>
      </c>
      <c r="D550" s="2" t="s">
        <v>35</v>
      </c>
      <c r="E550" s="3">
        <v>45016</v>
      </c>
      <c r="F550" s="3">
        <v>45021</v>
      </c>
      <c r="G550" s="4">
        <v>807</v>
      </c>
      <c r="H550" s="4">
        <v>5</v>
      </c>
      <c r="I550" s="2" t="s">
        <v>51</v>
      </c>
      <c r="J550" s="2" t="s">
        <v>57</v>
      </c>
      <c r="K550" s="4">
        <v>4</v>
      </c>
      <c r="L550" s="4">
        <v>153.32</v>
      </c>
      <c r="M550" s="4">
        <v>613.28</v>
      </c>
      <c r="N550" s="2" t="s">
        <v>26</v>
      </c>
    </row>
    <row r="551" spans="1:14" ht="15" x14ac:dyDescent="0.25">
      <c r="A551" s="2" t="s">
        <v>594</v>
      </c>
      <c r="B551" s="2" t="s">
        <v>28</v>
      </c>
      <c r="C551" s="2" t="s">
        <v>34</v>
      </c>
      <c r="D551" s="2" t="s">
        <v>17</v>
      </c>
      <c r="E551" s="3">
        <v>44984</v>
      </c>
      <c r="F551" s="3">
        <v>44985</v>
      </c>
      <c r="G551" s="4">
        <v>167</v>
      </c>
      <c r="H551" s="4">
        <v>1</v>
      </c>
      <c r="I551" s="2" t="s">
        <v>55</v>
      </c>
      <c r="J551" s="2" t="s">
        <v>49</v>
      </c>
      <c r="K551" s="4">
        <v>1</v>
      </c>
      <c r="L551" s="4">
        <v>102.9</v>
      </c>
      <c r="M551" s="4">
        <v>102.9</v>
      </c>
      <c r="N551" s="2" t="s">
        <v>26</v>
      </c>
    </row>
    <row r="552" spans="1:14" ht="15" x14ac:dyDescent="0.25">
      <c r="A552" s="2" t="s">
        <v>595</v>
      </c>
      <c r="B552" s="2" t="s">
        <v>45</v>
      </c>
      <c r="C552" s="2" t="s">
        <v>34</v>
      </c>
      <c r="D552" s="2" t="s">
        <v>23</v>
      </c>
      <c r="E552" s="3">
        <v>44985</v>
      </c>
      <c r="F552" s="3">
        <v>44994</v>
      </c>
      <c r="G552" s="4">
        <v>875</v>
      </c>
      <c r="H552" s="4">
        <v>9</v>
      </c>
      <c r="I552" s="2" t="s">
        <v>18</v>
      </c>
      <c r="J552" s="2" t="s">
        <v>57</v>
      </c>
      <c r="K552" s="4">
        <v>4</v>
      </c>
      <c r="L552" s="4">
        <v>124.38</v>
      </c>
      <c r="M552" s="4">
        <v>497.52</v>
      </c>
      <c r="N552" s="2" t="s">
        <v>26</v>
      </c>
    </row>
    <row r="553" spans="1:14" ht="15" x14ac:dyDescent="0.25">
      <c r="A553" s="2" t="s">
        <v>596</v>
      </c>
      <c r="B553" s="2" t="s">
        <v>22</v>
      </c>
      <c r="C553" s="2" t="s">
        <v>34</v>
      </c>
      <c r="D553" s="2" t="s">
        <v>23</v>
      </c>
      <c r="E553" s="3">
        <v>45048</v>
      </c>
      <c r="F553" s="3">
        <v>45049</v>
      </c>
      <c r="G553" s="4">
        <v>613</v>
      </c>
      <c r="H553" s="4">
        <v>1</v>
      </c>
      <c r="I553" s="2" t="s">
        <v>51</v>
      </c>
      <c r="J553" s="2" t="s">
        <v>57</v>
      </c>
      <c r="K553" s="4">
        <v>3</v>
      </c>
      <c r="L553" s="4">
        <v>50.9</v>
      </c>
      <c r="M553" s="4">
        <v>152.69999999999999</v>
      </c>
      <c r="N553" s="2" t="s">
        <v>20</v>
      </c>
    </row>
    <row r="554" spans="1:14" ht="15" x14ac:dyDescent="0.25">
      <c r="A554" s="2" t="s">
        <v>597</v>
      </c>
      <c r="B554" s="2" t="s">
        <v>22</v>
      </c>
      <c r="C554" s="2" t="s">
        <v>76</v>
      </c>
      <c r="D554" s="2" t="s">
        <v>54</v>
      </c>
      <c r="E554" s="3">
        <v>45014</v>
      </c>
      <c r="F554" s="3">
        <v>45022</v>
      </c>
      <c r="G554" s="4">
        <v>972</v>
      </c>
      <c r="H554" s="4">
        <v>8</v>
      </c>
      <c r="I554" s="2" t="s">
        <v>18</v>
      </c>
      <c r="J554" s="2" t="s">
        <v>49</v>
      </c>
      <c r="K554" s="4">
        <v>2</v>
      </c>
      <c r="L554" s="4">
        <v>373.43</v>
      </c>
      <c r="M554" s="4">
        <v>746.86</v>
      </c>
      <c r="N554" s="2" t="s">
        <v>20</v>
      </c>
    </row>
    <row r="555" spans="1:14" ht="15" x14ac:dyDescent="0.25">
      <c r="A555" s="2" t="s">
        <v>598</v>
      </c>
      <c r="B555" s="2" t="s">
        <v>15</v>
      </c>
      <c r="C555" s="2" t="s">
        <v>76</v>
      </c>
      <c r="D555" s="2" t="s">
        <v>47</v>
      </c>
      <c r="E555" s="3">
        <v>45266</v>
      </c>
      <c r="F555" s="3">
        <v>45275</v>
      </c>
      <c r="G555" s="4">
        <v>736</v>
      </c>
      <c r="H555" s="4">
        <v>9</v>
      </c>
      <c r="I555" s="2" t="s">
        <v>42</v>
      </c>
      <c r="J555" s="2" t="s">
        <v>39</v>
      </c>
      <c r="K555" s="4">
        <v>2</v>
      </c>
      <c r="L555" s="4">
        <v>379.58</v>
      </c>
      <c r="M555" s="4">
        <v>759.16</v>
      </c>
      <c r="N555" s="2" t="s">
        <v>26</v>
      </c>
    </row>
    <row r="556" spans="1:14" ht="15" x14ac:dyDescent="0.25">
      <c r="A556" s="2" t="s">
        <v>599</v>
      </c>
      <c r="B556" s="2" t="s">
        <v>41</v>
      </c>
      <c r="C556" s="2" t="s">
        <v>29</v>
      </c>
      <c r="D556" s="2" t="s">
        <v>54</v>
      </c>
      <c r="E556" s="3">
        <v>44965</v>
      </c>
      <c r="F556" s="3">
        <v>44974</v>
      </c>
      <c r="G556" s="4">
        <v>721</v>
      </c>
      <c r="H556" s="4">
        <v>9</v>
      </c>
      <c r="I556" s="2" t="s">
        <v>42</v>
      </c>
      <c r="J556" s="2" t="s">
        <v>25</v>
      </c>
      <c r="K556" s="4">
        <v>3</v>
      </c>
      <c r="L556" s="4">
        <v>281.72000000000003</v>
      </c>
      <c r="M556" s="4">
        <v>845.16</v>
      </c>
      <c r="N556" s="2" t="s">
        <v>26</v>
      </c>
    </row>
    <row r="557" spans="1:14" ht="15" x14ac:dyDescent="0.25">
      <c r="A557" s="2" t="s">
        <v>600</v>
      </c>
      <c r="B557" s="2" t="s">
        <v>28</v>
      </c>
      <c r="C557" s="2" t="s">
        <v>16</v>
      </c>
      <c r="D557" s="2" t="s">
        <v>23</v>
      </c>
      <c r="E557" s="3">
        <v>45182</v>
      </c>
      <c r="F557" s="3">
        <v>45183</v>
      </c>
      <c r="G557" s="4">
        <v>697</v>
      </c>
      <c r="H557" s="4">
        <v>1</v>
      </c>
      <c r="I557" s="2" t="s">
        <v>18</v>
      </c>
      <c r="J557" s="2" t="s">
        <v>49</v>
      </c>
      <c r="K557" s="4">
        <v>4</v>
      </c>
      <c r="L557" s="4">
        <v>122.61</v>
      </c>
      <c r="M557" s="4">
        <v>490.44</v>
      </c>
      <c r="N557" s="2" t="s">
        <v>20</v>
      </c>
    </row>
    <row r="558" spans="1:14" ht="15" x14ac:dyDescent="0.25">
      <c r="A558" s="2" t="s">
        <v>601</v>
      </c>
      <c r="B558" s="2" t="s">
        <v>15</v>
      </c>
      <c r="C558" s="2" t="s">
        <v>34</v>
      </c>
      <c r="D558" s="2" t="s">
        <v>35</v>
      </c>
      <c r="E558" s="3">
        <v>44996</v>
      </c>
      <c r="F558" s="3">
        <v>44998</v>
      </c>
      <c r="G558" s="4">
        <v>731</v>
      </c>
      <c r="H558" s="4">
        <v>2</v>
      </c>
      <c r="I558" s="2" t="s">
        <v>24</v>
      </c>
      <c r="J558" s="2" t="s">
        <v>49</v>
      </c>
      <c r="K558" s="4">
        <v>1</v>
      </c>
      <c r="L558" s="4">
        <v>87.6</v>
      </c>
      <c r="M558" s="4">
        <v>87.6</v>
      </c>
      <c r="N558" s="2" t="s">
        <v>43</v>
      </c>
    </row>
    <row r="559" spans="1:14" ht="15" x14ac:dyDescent="0.25">
      <c r="A559" s="2" t="s">
        <v>602</v>
      </c>
      <c r="B559" s="2" t="s">
        <v>53</v>
      </c>
      <c r="C559" s="2" t="s">
        <v>46</v>
      </c>
      <c r="D559" s="2" t="s">
        <v>35</v>
      </c>
      <c r="E559" s="3">
        <v>45248</v>
      </c>
      <c r="F559" s="3">
        <v>45249</v>
      </c>
      <c r="G559" s="4">
        <v>226</v>
      </c>
      <c r="H559" s="4">
        <v>1</v>
      </c>
      <c r="I559" s="2" t="s">
        <v>63</v>
      </c>
      <c r="J559" s="2" t="s">
        <v>49</v>
      </c>
      <c r="K559" s="4">
        <v>3</v>
      </c>
      <c r="L559" s="4">
        <v>58.61</v>
      </c>
      <c r="M559" s="4">
        <v>175.83</v>
      </c>
      <c r="N559" s="2" t="s">
        <v>43</v>
      </c>
    </row>
    <row r="560" spans="1:14" ht="15" x14ac:dyDescent="0.25">
      <c r="A560" s="2" t="s">
        <v>603</v>
      </c>
      <c r="B560" s="2" t="s">
        <v>22</v>
      </c>
      <c r="C560" s="2" t="s">
        <v>29</v>
      </c>
      <c r="D560" s="2" t="s">
        <v>35</v>
      </c>
      <c r="E560" s="3">
        <v>45277</v>
      </c>
      <c r="F560" s="3">
        <v>45279</v>
      </c>
      <c r="G560" s="4">
        <v>354</v>
      </c>
      <c r="H560" s="4">
        <v>2</v>
      </c>
      <c r="I560" s="2" t="s">
        <v>55</v>
      </c>
      <c r="J560" s="2" t="s">
        <v>39</v>
      </c>
      <c r="K560" s="4">
        <v>3</v>
      </c>
      <c r="L560" s="4">
        <v>124.59</v>
      </c>
      <c r="M560" s="4">
        <v>373.77</v>
      </c>
      <c r="N560" s="2" t="s">
        <v>26</v>
      </c>
    </row>
    <row r="561" spans="1:14" ht="15" x14ac:dyDescent="0.25">
      <c r="A561" s="2" t="s">
        <v>604</v>
      </c>
      <c r="B561" s="2" t="s">
        <v>15</v>
      </c>
      <c r="C561" s="2" t="s">
        <v>16</v>
      </c>
      <c r="D561" s="2" t="s">
        <v>54</v>
      </c>
      <c r="E561" s="3">
        <v>45096</v>
      </c>
      <c r="F561" s="3">
        <v>45104</v>
      </c>
      <c r="G561" s="4">
        <v>794</v>
      </c>
      <c r="H561" s="4">
        <v>8</v>
      </c>
      <c r="I561" s="2" t="s">
        <v>55</v>
      </c>
      <c r="J561" s="2" t="s">
        <v>25</v>
      </c>
      <c r="K561" s="4">
        <v>4</v>
      </c>
      <c r="L561" s="4">
        <v>450.88</v>
      </c>
      <c r="M561" s="4">
        <v>1803.52</v>
      </c>
      <c r="N561" s="2" t="s">
        <v>26</v>
      </c>
    </row>
    <row r="562" spans="1:14" ht="15" x14ac:dyDescent="0.25">
      <c r="A562" s="2" t="s">
        <v>605</v>
      </c>
      <c r="B562" s="2" t="s">
        <v>45</v>
      </c>
      <c r="C562" s="2" t="s">
        <v>46</v>
      </c>
      <c r="D562" s="2" t="s">
        <v>17</v>
      </c>
      <c r="E562" s="3">
        <v>45247</v>
      </c>
      <c r="F562" s="3">
        <v>45252</v>
      </c>
      <c r="G562" s="4">
        <v>115</v>
      </c>
      <c r="H562" s="4">
        <v>5</v>
      </c>
      <c r="I562" s="2" t="s">
        <v>51</v>
      </c>
      <c r="J562" s="2" t="s">
        <v>25</v>
      </c>
      <c r="K562" s="4">
        <v>2</v>
      </c>
      <c r="L562" s="4">
        <v>158.69</v>
      </c>
      <c r="M562" s="4">
        <v>317.38</v>
      </c>
      <c r="N562" s="2" t="s">
        <v>31</v>
      </c>
    </row>
    <row r="563" spans="1:14" ht="15" x14ac:dyDescent="0.25">
      <c r="A563" s="2" t="s">
        <v>606</v>
      </c>
      <c r="B563" s="2" t="s">
        <v>15</v>
      </c>
      <c r="C563" s="2" t="s">
        <v>61</v>
      </c>
      <c r="D563" s="2" t="s">
        <v>54</v>
      </c>
      <c r="E563" s="3">
        <v>44928</v>
      </c>
      <c r="F563" s="3">
        <v>44935</v>
      </c>
      <c r="G563" s="4">
        <v>576</v>
      </c>
      <c r="H563" s="4">
        <v>7</v>
      </c>
      <c r="I563" s="2" t="s">
        <v>24</v>
      </c>
      <c r="J563" s="2" t="s">
        <v>19</v>
      </c>
      <c r="K563" s="4">
        <v>4</v>
      </c>
      <c r="L563" s="4">
        <v>209.42</v>
      </c>
      <c r="M563" s="4">
        <v>837.68</v>
      </c>
      <c r="N563" s="2" t="s">
        <v>26</v>
      </c>
    </row>
    <row r="564" spans="1:14" ht="15" x14ac:dyDescent="0.25">
      <c r="A564" s="2" t="s">
        <v>607</v>
      </c>
      <c r="B564" s="2" t="s">
        <v>28</v>
      </c>
      <c r="C564" s="2" t="s">
        <v>29</v>
      </c>
      <c r="D564" s="2" t="s">
        <v>17</v>
      </c>
      <c r="E564" s="3">
        <v>45226</v>
      </c>
      <c r="F564" s="3">
        <v>45228</v>
      </c>
      <c r="G564" s="4">
        <v>161</v>
      </c>
      <c r="H564" s="4">
        <v>2</v>
      </c>
      <c r="I564" s="2" t="s">
        <v>63</v>
      </c>
      <c r="J564" s="2" t="s">
        <v>25</v>
      </c>
      <c r="K564" s="4">
        <v>3</v>
      </c>
      <c r="L564" s="4">
        <v>97.41</v>
      </c>
      <c r="M564" s="4">
        <v>292.23</v>
      </c>
      <c r="N564" s="2" t="s">
        <v>31</v>
      </c>
    </row>
    <row r="565" spans="1:14" ht="15" x14ac:dyDescent="0.25">
      <c r="A565" s="2" t="s">
        <v>608</v>
      </c>
      <c r="B565" s="2" t="s">
        <v>75</v>
      </c>
      <c r="C565" s="2" t="s">
        <v>29</v>
      </c>
      <c r="D565" s="2" t="s">
        <v>23</v>
      </c>
      <c r="E565" s="3">
        <v>45010</v>
      </c>
      <c r="F565" s="3">
        <v>45018</v>
      </c>
      <c r="G565" s="4">
        <v>980</v>
      </c>
      <c r="H565" s="4">
        <v>8</v>
      </c>
      <c r="I565" s="2" t="s">
        <v>63</v>
      </c>
      <c r="J565" s="2" t="s">
        <v>39</v>
      </c>
      <c r="K565" s="4">
        <v>3</v>
      </c>
      <c r="L565" s="4">
        <v>150.06</v>
      </c>
      <c r="M565" s="4">
        <v>450.18</v>
      </c>
      <c r="N565" s="2" t="s">
        <v>20</v>
      </c>
    </row>
    <row r="566" spans="1:14" ht="15" x14ac:dyDescent="0.25">
      <c r="A566" s="2" t="s">
        <v>609</v>
      </c>
      <c r="B566" s="2" t="s">
        <v>15</v>
      </c>
      <c r="C566" s="2" t="s">
        <v>76</v>
      </c>
      <c r="D566" s="2" t="s">
        <v>54</v>
      </c>
      <c r="E566" s="3">
        <v>45258</v>
      </c>
      <c r="F566" s="3">
        <v>45264</v>
      </c>
      <c r="G566" s="4">
        <v>531</v>
      </c>
      <c r="H566" s="4">
        <v>6</v>
      </c>
      <c r="I566" s="2" t="s">
        <v>24</v>
      </c>
      <c r="J566" s="2" t="s">
        <v>25</v>
      </c>
      <c r="K566" s="4">
        <v>2</v>
      </c>
      <c r="L566" s="4">
        <v>283.64999999999998</v>
      </c>
      <c r="M566" s="4">
        <v>567.29999999999995</v>
      </c>
      <c r="N566" s="2" t="s">
        <v>43</v>
      </c>
    </row>
    <row r="567" spans="1:14" ht="15" x14ac:dyDescent="0.25">
      <c r="A567" s="2" t="s">
        <v>610</v>
      </c>
      <c r="B567" s="2" t="s">
        <v>22</v>
      </c>
      <c r="C567" s="2" t="s">
        <v>61</v>
      </c>
      <c r="D567" s="2" t="s">
        <v>54</v>
      </c>
      <c r="E567" s="3">
        <v>44927</v>
      </c>
      <c r="F567" s="3">
        <v>44935</v>
      </c>
      <c r="G567" s="4">
        <v>769</v>
      </c>
      <c r="H567" s="4">
        <v>8</v>
      </c>
      <c r="I567" s="2" t="s">
        <v>24</v>
      </c>
      <c r="J567" s="2" t="s">
        <v>25</v>
      </c>
      <c r="K567" s="4">
        <v>2</v>
      </c>
      <c r="L567" s="4">
        <v>323.49</v>
      </c>
      <c r="M567" s="4">
        <v>646.98</v>
      </c>
      <c r="N567" s="2" t="s">
        <v>43</v>
      </c>
    </row>
    <row r="568" spans="1:14" ht="15" x14ac:dyDescent="0.25">
      <c r="A568" s="2" t="s">
        <v>611</v>
      </c>
      <c r="B568" s="2" t="s">
        <v>15</v>
      </c>
      <c r="C568" s="2" t="s">
        <v>61</v>
      </c>
      <c r="D568" s="2" t="s">
        <v>23</v>
      </c>
      <c r="E568" s="3">
        <v>45130</v>
      </c>
      <c r="F568" s="3">
        <v>45131</v>
      </c>
      <c r="G568" s="4">
        <v>367</v>
      </c>
      <c r="H568" s="4">
        <v>1</v>
      </c>
      <c r="I568" s="2" t="s">
        <v>24</v>
      </c>
      <c r="J568" s="2" t="s">
        <v>57</v>
      </c>
      <c r="K568" s="4">
        <v>2</v>
      </c>
      <c r="L568" s="4">
        <v>160.41</v>
      </c>
      <c r="M568" s="4">
        <v>320.82</v>
      </c>
      <c r="N568" s="2" t="s">
        <v>20</v>
      </c>
    </row>
    <row r="569" spans="1:14" ht="15" x14ac:dyDescent="0.25">
      <c r="A569" s="2" t="s">
        <v>612</v>
      </c>
      <c r="B569" s="2" t="s">
        <v>15</v>
      </c>
      <c r="C569" s="2" t="s">
        <v>37</v>
      </c>
      <c r="D569" s="2" t="s">
        <v>35</v>
      </c>
      <c r="E569" s="3">
        <v>45203</v>
      </c>
      <c r="F569" s="3">
        <v>45204</v>
      </c>
      <c r="G569" s="4">
        <v>134</v>
      </c>
      <c r="H569" s="4">
        <v>1</v>
      </c>
      <c r="I569" s="2" t="s">
        <v>18</v>
      </c>
      <c r="J569" s="2" t="s">
        <v>57</v>
      </c>
      <c r="K569" s="4">
        <v>4</v>
      </c>
      <c r="L569" s="4">
        <v>75.98</v>
      </c>
      <c r="M569" s="4">
        <v>303.92</v>
      </c>
      <c r="N569" s="2" t="s">
        <v>20</v>
      </c>
    </row>
    <row r="570" spans="1:14" ht="15" x14ac:dyDescent="0.25">
      <c r="A570" s="2" t="s">
        <v>613</v>
      </c>
      <c r="B570" s="2" t="s">
        <v>28</v>
      </c>
      <c r="C570" s="2" t="s">
        <v>61</v>
      </c>
      <c r="D570" s="2" t="s">
        <v>23</v>
      </c>
      <c r="E570" s="3">
        <v>45021</v>
      </c>
      <c r="F570" s="3">
        <v>45028</v>
      </c>
      <c r="G570" s="4">
        <v>878</v>
      </c>
      <c r="H570" s="4">
        <v>7</v>
      </c>
      <c r="I570" s="2" t="s">
        <v>51</v>
      </c>
      <c r="J570" s="2" t="s">
        <v>25</v>
      </c>
      <c r="K570" s="4">
        <v>2</v>
      </c>
      <c r="L570" s="4">
        <v>225.96</v>
      </c>
      <c r="M570" s="4">
        <v>451.92</v>
      </c>
      <c r="N570" s="2" t="s">
        <v>31</v>
      </c>
    </row>
    <row r="571" spans="1:14" ht="15" x14ac:dyDescent="0.25">
      <c r="A571" s="2" t="s">
        <v>614</v>
      </c>
      <c r="B571" s="2" t="s">
        <v>22</v>
      </c>
      <c r="C571" s="2" t="s">
        <v>61</v>
      </c>
      <c r="D571" s="2" t="s">
        <v>54</v>
      </c>
      <c r="E571" s="3">
        <v>44997</v>
      </c>
      <c r="F571" s="3">
        <v>45005</v>
      </c>
      <c r="G571" s="4">
        <v>675</v>
      </c>
      <c r="H571" s="4">
        <v>8</v>
      </c>
      <c r="I571" s="2" t="s">
        <v>24</v>
      </c>
      <c r="J571" s="2" t="s">
        <v>25</v>
      </c>
      <c r="K571" s="4">
        <v>3</v>
      </c>
      <c r="L571" s="4">
        <v>155.38999999999999</v>
      </c>
      <c r="M571" s="4">
        <v>466.17</v>
      </c>
      <c r="N571" s="2" t="s">
        <v>26</v>
      </c>
    </row>
    <row r="572" spans="1:14" ht="15" x14ac:dyDescent="0.25">
      <c r="A572" s="2" t="s">
        <v>615</v>
      </c>
      <c r="B572" s="2" t="s">
        <v>15</v>
      </c>
      <c r="C572" s="2" t="s">
        <v>61</v>
      </c>
      <c r="D572" s="2" t="s">
        <v>17</v>
      </c>
      <c r="E572" s="3">
        <v>44957</v>
      </c>
      <c r="F572" s="3">
        <v>44960</v>
      </c>
      <c r="G572" s="4">
        <v>593</v>
      </c>
      <c r="H572" s="4">
        <v>3</v>
      </c>
      <c r="I572" s="2" t="s">
        <v>42</v>
      </c>
      <c r="J572" s="2" t="s">
        <v>19</v>
      </c>
      <c r="K572" s="4">
        <v>3</v>
      </c>
      <c r="L572" s="4">
        <v>148.80000000000001</v>
      </c>
      <c r="M572" s="4">
        <v>446.4</v>
      </c>
      <c r="N572" s="2" t="s">
        <v>31</v>
      </c>
    </row>
    <row r="573" spans="1:14" ht="15" x14ac:dyDescent="0.25">
      <c r="A573" s="2" t="s">
        <v>616</v>
      </c>
      <c r="B573" s="2" t="s">
        <v>22</v>
      </c>
      <c r="C573" s="2" t="s">
        <v>29</v>
      </c>
      <c r="D573" s="2" t="s">
        <v>17</v>
      </c>
      <c r="E573" s="3">
        <v>45046</v>
      </c>
      <c r="F573" s="3">
        <v>45051</v>
      </c>
      <c r="G573" s="4">
        <v>661</v>
      </c>
      <c r="H573" s="4">
        <v>5</v>
      </c>
      <c r="I573" s="2" t="s">
        <v>42</v>
      </c>
      <c r="J573" s="2" t="s">
        <v>57</v>
      </c>
      <c r="K573" s="4">
        <v>1</v>
      </c>
      <c r="L573" s="4">
        <v>481.94</v>
      </c>
      <c r="M573" s="4">
        <v>481.94</v>
      </c>
      <c r="N573" s="2" t="s">
        <v>20</v>
      </c>
    </row>
    <row r="574" spans="1:14" ht="15" x14ac:dyDescent="0.25">
      <c r="A574" s="2" t="s">
        <v>617</v>
      </c>
      <c r="B574" s="2" t="s">
        <v>22</v>
      </c>
      <c r="C574" s="2" t="s">
        <v>34</v>
      </c>
      <c r="D574" s="2" t="s">
        <v>47</v>
      </c>
      <c r="E574" s="3">
        <v>45131</v>
      </c>
      <c r="F574" s="3">
        <v>45132</v>
      </c>
      <c r="G574" s="4">
        <v>568</v>
      </c>
      <c r="H574" s="4">
        <v>1</v>
      </c>
      <c r="I574" s="2" t="s">
        <v>55</v>
      </c>
      <c r="J574" s="2" t="s">
        <v>19</v>
      </c>
      <c r="K574" s="4">
        <v>4</v>
      </c>
      <c r="L574" s="4">
        <v>327.33999999999997</v>
      </c>
      <c r="M574" s="4">
        <v>1309.3599999999999</v>
      </c>
      <c r="N574" s="2" t="s">
        <v>26</v>
      </c>
    </row>
    <row r="575" spans="1:14" ht="15" x14ac:dyDescent="0.25">
      <c r="A575" s="2" t="s">
        <v>618</v>
      </c>
      <c r="B575" s="2" t="s">
        <v>33</v>
      </c>
      <c r="C575" s="2" t="s">
        <v>29</v>
      </c>
      <c r="D575" s="2" t="s">
        <v>17</v>
      </c>
      <c r="E575" s="3">
        <v>44969</v>
      </c>
      <c r="F575" s="3">
        <v>44976</v>
      </c>
      <c r="G575" s="4">
        <v>866</v>
      </c>
      <c r="H575" s="4">
        <v>7</v>
      </c>
      <c r="I575" s="2" t="s">
        <v>63</v>
      </c>
      <c r="J575" s="2" t="s">
        <v>25</v>
      </c>
      <c r="K575" s="4">
        <v>1</v>
      </c>
      <c r="L575" s="4">
        <v>300.60000000000002</v>
      </c>
      <c r="M575" s="4">
        <v>300.60000000000002</v>
      </c>
      <c r="N575" s="2" t="s">
        <v>31</v>
      </c>
    </row>
    <row r="576" spans="1:14" ht="15" x14ac:dyDescent="0.25">
      <c r="A576" s="2" t="s">
        <v>619</v>
      </c>
      <c r="B576" s="2" t="s">
        <v>22</v>
      </c>
      <c r="C576" s="2" t="s">
        <v>76</v>
      </c>
      <c r="D576" s="2" t="s">
        <v>54</v>
      </c>
      <c r="E576" s="3">
        <v>45064</v>
      </c>
      <c r="F576" s="3">
        <v>45069</v>
      </c>
      <c r="G576" s="4">
        <v>760</v>
      </c>
      <c r="H576" s="4">
        <v>5</v>
      </c>
      <c r="I576" s="2" t="s">
        <v>55</v>
      </c>
      <c r="J576" s="2" t="s">
        <v>39</v>
      </c>
      <c r="K576" s="4">
        <v>3</v>
      </c>
      <c r="L576" s="4">
        <v>237.1</v>
      </c>
      <c r="M576" s="4">
        <v>711.3</v>
      </c>
      <c r="N576" s="2" t="s">
        <v>31</v>
      </c>
    </row>
    <row r="577" spans="1:14" ht="15" x14ac:dyDescent="0.25">
      <c r="A577" s="2" t="s">
        <v>620</v>
      </c>
      <c r="B577" s="2" t="s">
        <v>33</v>
      </c>
      <c r="C577" s="2" t="s">
        <v>34</v>
      </c>
      <c r="D577" s="2" t="s">
        <v>23</v>
      </c>
      <c r="E577" s="3">
        <v>44930</v>
      </c>
      <c r="F577" s="3">
        <v>44938</v>
      </c>
      <c r="G577" s="4">
        <v>424</v>
      </c>
      <c r="H577" s="4">
        <v>8</v>
      </c>
      <c r="I577" s="2" t="s">
        <v>18</v>
      </c>
      <c r="J577" s="2" t="s">
        <v>25</v>
      </c>
      <c r="K577" s="4">
        <v>1</v>
      </c>
      <c r="L577" s="4">
        <v>243.02</v>
      </c>
      <c r="M577" s="4">
        <v>243.02</v>
      </c>
      <c r="N577" s="2" t="s">
        <v>43</v>
      </c>
    </row>
    <row r="578" spans="1:14" ht="15" x14ac:dyDescent="0.25">
      <c r="A578" s="2" t="s">
        <v>621</v>
      </c>
      <c r="B578" s="2" t="s">
        <v>15</v>
      </c>
      <c r="C578" s="2" t="s">
        <v>61</v>
      </c>
      <c r="D578" s="2" t="s">
        <v>17</v>
      </c>
      <c r="E578" s="3">
        <v>45225</v>
      </c>
      <c r="F578" s="3">
        <v>45233</v>
      </c>
      <c r="G578" s="4">
        <v>403</v>
      </c>
      <c r="H578" s="4">
        <v>8</v>
      </c>
      <c r="I578" s="2" t="s">
        <v>42</v>
      </c>
      <c r="J578" s="2" t="s">
        <v>57</v>
      </c>
      <c r="K578" s="4">
        <v>3</v>
      </c>
      <c r="L578" s="4">
        <v>293.41000000000003</v>
      </c>
      <c r="M578" s="4">
        <v>880.23</v>
      </c>
      <c r="N578" s="2" t="s">
        <v>31</v>
      </c>
    </row>
    <row r="579" spans="1:14" ht="15" x14ac:dyDescent="0.25">
      <c r="A579" s="2" t="s">
        <v>622</v>
      </c>
      <c r="B579" s="2" t="s">
        <v>15</v>
      </c>
      <c r="C579" s="2" t="s">
        <v>29</v>
      </c>
      <c r="D579" s="2" t="s">
        <v>54</v>
      </c>
      <c r="E579" s="3">
        <v>44973</v>
      </c>
      <c r="F579" s="3">
        <v>44982</v>
      </c>
      <c r="G579" s="4">
        <v>375</v>
      </c>
      <c r="H579" s="4">
        <v>9</v>
      </c>
      <c r="I579" s="2" t="s">
        <v>30</v>
      </c>
      <c r="J579" s="2" t="s">
        <v>39</v>
      </c>
      <c r="K579" s="4">
        <v>1</v>
      </c>
      <c r="L579" s="4">
        <v>363.39</v>
      </c>
      <c r="M579" s="4">
        <v>363.39</v>
      </c>
      <c r="N579" s="2" t="s">
        <v>31</v>
      </c>
    </row>
    <row r="580" spans="1:14" ht="15" x14ac:dyDescent="0.25">
      <c r="A580" s="2" t="s">
        <v>623</v>
      </c>
      <c r="B580" s="2" t="s">
        <v>45</v>
      </c>
      <c r="C580" s="2" t="s">
        <v>46</v>
      </c>
      <c r="D580" s="2" t="s">
        <v>54</v>
      </c>
      <c r="E580" s="3">
        <v>45030</v>
      </c>
      <c r="F580" s="3">
        <v>45037</v>
      </c>
      <c r="G580" s="4">
        <v>968</v>
      </c>
      <c r="H580" s="4">
        <v>7</v>
      </c>
      <c r="I580" s="2" t="s">
        <v>42</v>
      </c>
      <c r="J580" s="2" t="s">
        <v>19</v>
      </c>
      <c r="K580" s="4">
        <v>2</v>
      </c>
      <c r="L580" s="4">
        <v>365.97</v>
      </c>
      <c r="M580" s="4">
        <v>731.94</v>
      </c>
      <c r="N580" s="2" t="s">
        <v>26</v>
      </c>
    </row>
    <row r="581" spans="1:14" ht="15" x14ac:dyDescent="0.25">
      <c r="A581" s="2" t="s">
        <v>624</v>
      </c>
      <c r="B581" s="2" t="s">
        <v>75</v>
      </c>
      <c r="C581" s="2" t="s">
        <v>16</v>
      </c>
      <c r="D581" s="2" t="s">
        <v>54</v>
      </c>
      <c r="E581" s="3">
        <v>44933</v>
      </c>
      <c r="F581" s="3">
        <v>44934</v>
      </c>
      <c r="G581" s="4">
        <v>783</v>
      </c>
      <c r="H581" s="4">
        <v>1</v>
      </c>
      <c r="I581" s="2" t="s">
        <v>63</v>
      </c>
      <c r="J581" s="2" t="s">
        <v>39</v>
      </c>
      <c r="K581" s="4">
        <v>1</v>
      </c>
      <c r="L581" s="4">
        <v>127.26</v>
      </c>
      <c r="M581" s="4">
        <v>127.26</v>
      </c>
      <c r="N581" s="2" t="s">
        <v>20</v>
      </c>
    </row>
    <row r="582" spans="1:14" ht="15" x14ac:dyDescent="0.25">
      <c r="A582" s="2" t="s">
        <v>625</v>
      </c>
      <c r="B582" s="2" t="s">
        <v>28</v>
      </c>
      <c r="C582" s="2" t="s">
        <v>34</v>
      </c>
      <c r="D582" s="2" t="s">
        <v>54</v>
      </c>
      <c r="E582" s="3">
        <v>45084</v>
      </c>
      <c r="F582" s="3">
        <v>45087</v>
      </c>
      <c r="G582" s="4">
        <v>300</v>
      </c>
      <c r="H582" s="4">
        <v>3</v>
      </c>
      <c r="I582" s="2" t="s">
        <v>30</v>
      </c>
      <c r="J582" s="2" t="s">
        <v>25</v>
      </c>
      <c r="K582" s="4">
        <v>2</v>
      </c>
      <c r="L582" s="4">
        <v>275.05</v>
      </c>
      <c r="M582" s="4">
        <v>550.1</v>
      </c>
      <c r="N582" s="2" t="s">
        <v>43</v>
      </c>
    </row>
    <row r="583" spans="1:14" ht="15" x14ac:dyDescent="0.25">
      <c r="A583" s="2" t="s">
        <v>626</v>
      </c>
      <c r="B583" s="2" t="s">
        <v>22</v>
      </c>
      <c r="C583" s="2" t="s">
        <v>61</v>
      </c>
      <c r="D583" s="2" t="s">
        <v>17</v>
      </c>
      <c r="E583" s="3">
        <v>45233</v>
      </c>
      <c r="F583" s="3">
        <v>45241</v>
      </c>
      <c r="G583" s="4">
        <v>544</v>
      </c>
      <c r="H583" s="4">
        <v>8</v>
      </c>
      <c r="I583" s="2" t="s">
        <v>30</v>
      </c>
      <c r="J583" s="2" t="s">
        <v>19</v>
      </c>
      <c r="K583" s="4">
        <v>2</v>
      </c>
      <c r="L583" s="4">
        <v>235.38</v>
      </c>
      <c r="M583" s="4">
        <v>470.76</v>
      </c>
      <c r="N583" s="2" t="s">
        <v>43</v>
      </c>
    </row>
    <row r="584" spans="1:14" ht="15" x14ac:dyDescent="0.25">
      <c r="A584" s="2" t="s">
        <v>627</v>
      </c>
      <c r="B584" s="2" t="s">
        <v>28</v>
      </c>
      <c r="C584" s="2" t="s">
        <v>76</v>
      </c>
      <c r="D584" s="2" t="s">
        <v>54</v>
      </c>
      <c r="E584" s="3">
        <v>45070</v>
      </c>
      <c r="F584" s="3">
        <v>45073</v>
      </c>
      <c r="G584" s="4">
        <v>423</v>
      </c>
      <c r="H584" s="4">
        <v>3</v>
      </c>
      <c r="I584" s="2" t="s">
        <v>30</v>
      </c>
      <c r="J584" s="2" t="s">
        <v>57</v>
      </c>
      <c r="K584" s="4">
        <v>4</v>
      </c>
      <c r="L584" s="4">
        <v>441.74</v>
      </c>
      <c r="M584" s="4">
        <v>1766.96</v>
      </c>
      <c r="N584" s="2" t="s">
        <v>20</v>
      </c>
    </row>
    <row r="585" spans="1:14" ht="15" x14ac:dyDescent="0.25">
      <c r="A585" s="2" t="s">
        <v>628</v>
      </c>
      <c r="B585" s="2" t="s">
        <v>28</v>
      </c>
      <c r="C585" s="2" t="s">
        <v>29</v>
      </c>
      <c r="D585" s="2" t="s">
        <v>47</v>
      </c>
      <c r="E585" s="3">
        <v>44992</v>
      </c>
      <c r="F585" s="3">
        <v>45000</v>
      </c>
      <c r="G585" s="4">
        <v>134</v>
      </c>
      <c r="H585" s="4">
        <v>8</v>
      </c>
      <c r="I585" s="2" t="s">
        <v>51</v>
      </c>
      <c r="J585" s="2" t="s">
        <v>19</v>
      </c>
      <c r="K585" s="4">
        <v>2</v>
      </c>
      <c r="L585" s="4">
        <v>334.14</v>
      </c>
      <c r="M585" s="4">
        <v>668.28</v>
      </c>
      <c r="N585" s="2" t="s">
        <v>31</v>
      </c>
    </row>
    <row r="586" spans="1:14" ht="15" x14ac:dyDescent="0.25">
      <c r="A586" s="2" t="s">
        <v>629</v>
      </c>
      <c r="B586" s="2" t="s">
        <v>33</v>
      </c>
      <c r="C586" s="2" t="s">
        <v>46</v>
      </c>
      <c r="D586" s="2" t="s">
        <v>54</v>
      </c>
      <c r="E586" s="3">
        <v>45202</v>
      </c>
      <c r="F586" s="3">
        <v>45203</v>
      </c>
      <c r="G586" s="4">
        <v>581</v>
      </c>
      <c r="H586" s="4">
        <v>1</v>
      </c>
      <c r="I586" s="2" t="s">
        <v>51</v>
      </c>
      <c r="J586" s="2" t="s">
        <v>49</v>
      </c>
      <c r="K586" s="4">
        <v>2</v>
      </c>
      <c r="L586" s="4">
        <v>289.63</v>
      </c>
      <c r="M586" s="4">
        <v>579.26</v>
      </c>
      <c r="N586" s="2" t="s">
        <v>43</v>
      </c>
    </row>
    <row r="587" spans="1:14" ht="15" x14ac:dyDescent="0.25">
      <c r="A587" s="2" t="s">
        <v>630</v>
      </c>
      <c r="B587" s="2" t="s">
        <v>75</v>
      </c>
      <c r="C587" s="2" t="s">
        <v>46</v>
      </c>
      <c r="D587" s="2" t="s">
        <v>23</v>
      </c>
      <c r="E587" s="3">
        <v>45214</v>
      </c>
      <c r="F587" s="3">
        <v>45219</v>
      </c>
      <c r="G587" s="4">
        <v>827</v>
      </c>
      <c r="H587" s="4">
        <v>5</v>
      </c>
      <c r="I587" s="2" t="s">
        <v>42</v>
      </c>
      <c r="J587" s="2" t="s">
        <v>19</v>
      </c>
      <c r="K587" s="4">
        <v>1</v>
      </c>
      <c r="L587" s="4">
        <v>101.93</v>
      </c>
      <c r="M587" s="4">
        <v>101.93</v>
      </c>
      <c r="N587" s="2" t="s">
        <v>31</v>
      </c>
    </row>
    <row r="588" spans="1:14" ht="15" x14ac:dyDescent="0.25">
      <c r="A588" s="2" t="s">
        <v>631</v>
      </c>
      <c r="B588" s="2" t="s">
        <v>45</v>
      </c>
      <c r="C588" s="2" t="s">
        <v>29</v>
      </c>
      <c r="D588" s="2" t="s">
        <v>23</v>
      </c>
      <c r="E588" s="3">
        <v>44990</v>
      </c>
      <c r="F588" s="3">
        <v>44994</v>
      </c>
      <c r="G588" s="4">
        <v>579</v>
      </c>
      <c r="H588" s="4">
        <v>4</v>
      </c>
      <c r="I588" s="2" t="s">
        <v>18</v>
      </c>
      <c r="J588" s="2" t="s">
        <v>19</v>
      </c>
      <c r="K588" s="4">
        <v>3</v>
      </c>
      <c r="L588" s="4">
        <v>322.54000000000002</v>
      </c>
      <c r="M588" s="4">
        <v>967.62</v>
      </c>
      <c r="N588" s="2" t="s">
        <v>43</v>
      </c>
    </row>
    <row r="589" spans="1:14" ht="15" x14ac:dyDescent="0.25">
      <c r="A589" s="2" t="s">
        <v>632</v>
      </c>
      <c r="B589" s="2" t="s">
        <v>41</v>
      </c>
      <c r="C589" s="2" t="s">
        <v>29</v>
      </c>
      <c r="D589" s="2" t="s">
        <v>17</v>
      </c>
      <c r="E589" s="3">
        <v>45208</v>
      </c>
      <c r="F589" s="3">
        <v>45213</v>
      </c>
      <c r="G589" s="4">
        <v>164</v>
      </c>
      <c r="H589" s="4">
        <v>5</v>
      </c>
      <c r="I589" s="2" t="s">
        <v>30</v>
      </c>
      <c r="J589" s="2" t="s">
        <v>19</v>
      </c>
      <c r="K589" s="4">
        <v>4</v>
      </c>
      <c r="L589" s="4">
        <v>102.74</v>
      </c>
      <c r="M589" s="4">
        <v>410.96</v>
      </c>
      <c r="N589" s="2" t="s">
        <v>31</v>
      </c>
    </row>
    <row r="590" spans="1:14" ht="15" x14ac:dyDescent="0.25">
      <c r="A590" s="2" t="s">
        <v>633</v>
      </c>
      <c r="B590" s="2" t="s">
        <v>22</v>
      </c>
      <c r="C590" s="2" t="s">
        <v>16</v>
      </c>
      <c r="D590" s="2" t="s">
        <v>23</v>
      </c>
      <c r="E590" s="3">
        <v>45272</v>
      </c>
      <c r="F590" s="3">
        <v>45280</v>
      </c>
      <c r="G590" s="4">
        <v>107</v>
      </c>
      <c r="H590" s="4">
        <v>8</v>
      </c>
      <c r="I590" s="2" t="s">
        <v>51</v>
      </c>
      <c r="J590" s="2" t="s">
        <v>25</v>
      </c>
      <c r="K590" s="4">
        <v>2</v>
      </c>
      <c r="L590" s="4">
        <v>201.74</v>
      </c>
      <c r="M590" s="4">
        <v>403.48</v>
      </c>
      <c r="N590" s="2" t="s">
        <v>26</v>
      </c>
    </row>
    <row r="591" spans="1:14" ht="15" x14ac:dyDescent="0.25">
      <c r="A591" s="2" t="s">
        <v>634</v>
      </c>
      <c r="B591" s="2" t="s">
        <v>41</v>
      </c>
      <c r="C591" s="2" t="s">
        <v>29</v>
      </c>
      <c r="D591" s="2" t="s">
        <v>35</v>
      </c>
      <c r="E591" s="3">
        <v>44987</v>
      </c>
      <c r="F591" s="3">
        <v>44991</v>
      </c>
      <c r="G591" s="4">
        <v>400</v>
      </c>
      <c r="H591" s="4">
        <v>4</v>
      </c>
      <c r="I591" s="2" t="s">
        <v>24</v>
      </c>
      <c r="J591" s="2" t="s">
        <v>25</v>
      </c>
      <c r="K591" s="4">
        <v>4</v>
      </c>
      <c r="L591" s="4">
        <v>114.28</v>
      </c>
      <c r="M591" s="4">
        <v>457.12</v>
      </c>
      <c r="N591" s="2" t="s">
        <v>26</v>
      </c>
    </row>
    <row r="592" spans="1:14" ht="15" x14ac:dyDescent="0.25">
      <c r="A592" s="2" t="s">
        <v>635</v>
      </c>
      <c r="B592" s="2" t="s">
        <v>33</v>
      </c>
      <c r="C592" s="2" t="s">
        <v>76</v>
      </c>
      <c r="D592" s="2" t="s">
        <v>35</v>
      </c>
      <c r="E592" s="3">
        <v>45208</v>
      </c>
      <c r="F592" s="3">
        <v>45212</v>
      </c>
      <c r="G592" s="4">
        <v>442</v>
      </c>
      <c r="H592" s="4">
        <v>4</v>
      </c>
      <c r="I592" s="2" t="s">
        <v>42</v>
      </c>
      <c r="J592" s="2" t="s">
        <v>19</v>
      </c>
      <c r="K592" s="4">
        <v>1</v>
      </c>
      <c r="L592" s="4">
        <v>361.43</v>
      </c>
      <c r="M592" s="4">
        <v>361.43</v>
      </c>
      <c r="N592" s="2" t="s">
        <v>31</v>
      </c>
    </row>
    <row r="593" spans="1:14" ht="15" x14ac:dyDescent="0.25">
      <c r="A593" s="2" t="s">
        <v>636</v>
      </c>
      <c r="B593" s="2" t="s">
        <v>28</v>
      </c>
      <c r="C593" s="2" t="s">
        <v>46</v>
      </c>
      <c r="D593" s="2" t="s">
        <v>47</v>
      </c>
      <c r="E593" s="3">
        <v>45185</v>
      </c>
      <c r="F593" s="3">
        <v>45188</v>
      </c>
      <c r="G593" s="4">
        <v>530</v>
      </c>
      <c r="H593" s="4">
        <v>3</v>
      </c>
      <c r="I593" s="2" t="s">
        <v>55</v>
      </c>
      <c r="J593" s="2" t="s">
        <v>49</v>
      </c>
      <c r="K593" s="4">
        <v>2</v>
      </c>
      <c r="L593" s="4">
        <v>142.81</v>
      </c>
      <c r="M593" s="4">
        <v>285.62</v>
      </c>
      <c r="N593" s="2" t="s">
        <v>26</v>
      </c>
    </row>
    <row r="594" spans="1:14" ht="15" x14ac:dyDescent="0.25">
      <c r="A594" s="2" t="s">
        <v>637</v>
      </c>
      <c r="B594" s="2" t="s">
        <v>33</v>
      </c>
      <c r="C594" s="2" t="s">
        <v>61</v>
      </c>
      <c r="D594" s="2" t="s">
        <v>47</v>
      </c>
      <c r="E594" s="3">
        <v>45099</v>
      </c>
      <c r="F594" s="3">
        <v>45106</v>
      </c>
      <c r="G594" s="4">
        <v>523</v>
      </c>
      <c r="H594" s="4">
        <v>7</v>
      </c>
      <c r="I594" s="2" t="s">
        <v>18</v>
      </c>
      <c r="J594" s="2" t="s">
        <v>25</v>
      </c>
      <c r="K594" s="4">
        <v>1</v>
      </c>
      <c r="L594" s="4">
        <v>226.34</v>
      </c>
      <c r="M594" s="4">
        <v>226.34</v>
      </c>
      <c r="N594" s="2" t="s">
        <v>20</v>
      </c>
    </row>
    <row r="595" spans="1:14" ht="15" x14ac:dyDescent="0.25">
      <c r="A595" s="2" t="s">
        <v>638</v>
      </c>
      <c r="B595" s="2" t="s">
        <v>45</v>
      </c>
      <c r="C595" s="2" t="s">
        <v>46</v>
      </c>
      <c r="D595" s="2" t="s">
        <v>35</v>
      </c>
      <c r="E595" s="3">
        <v>44948</v>
      </c>
      <c r="F595" s="3">
        <v>44951</v>
      </c>
      <c r="G595" s="4">
        <v>431</v>
      </c>
      <c r="H595" s="4">
        <v>3</v>
      </c>
      <c r="I595" s="2" t="s">
        <v>51</v>
      </c>
      <c r="J595" s="2" t="s">
        <v>57</v>
      </c>
      <c r="K595" s="4">
        <v>4</v>
      </c>
      <c r="L595" s="4">
        <v>453.05</v>
      </c>
      <c r="M595" s="4">
        <v>1812.2</v>
      </c>
      <c r="N595" s="2" t="s">
        <v>43</v>
      </c>
    </row>
    <row r="596" spans="1:14" ht="15" x14ac:dyDescent="0.25">
      <c r="A596" s="2" t="s">
        <v>639</v>
      </c>
      <c r="B596" s="2" t="s">
        <v>41</v>
      </c>
      <c r="C596" s="2" t="s">
        <v>76</v>
      </c>
      <c r="D596" s="2" t="s">
        <v>35</v>
      </c>
      <c r="E596" s="3">
        <v>44954</v>
      </c>
      <c r="F596" s="3">
        <v>44957</v>
      </c>
      <c r="G596" s="4">
        <v>537</v>
      </c>
      <c r="H596" s="4">
        <v>3</v>
      </c>
      <c r="I596" s="2" t="s">
        <v>55</v>
      </c>
      <c r="J596" s="2" t="s">
        <v>49</v>
      </c>
      <c r="K596" s="4">
        <v>1</v>
      </c>
      <c r="L596" s="4">
        <v>141.94</v>
      </c>
      <c r="M596" s="4">
        <v>141.94</v>
      </c>
      <c r="N596" s="2" t="s">
        <v>20</v>
      </c>
    </row>
    <row r="597" spans="1:14" ht="15" x14ac:dyDescent="0.25">
      <c r="A597" s="2" t="s">
        <v>640</v>
      </c>
      <c r="B597" s="2" t="s">
        <v>22</v>
      </c>
      <c r="C597" s="2" t="s">
        <v>29</v>
      </c>
      <c r="D597" s="2" t="s">
        <v>54</v>
      </c>
      <c r="E597" s="3">
        <v>45238</v>
      </c>
      <c r="F597" s="3">
        <v>45243</v>
      </c>
      <c r="G597" s="4">
        <v>687</v>
      </c>
      <c r="H597" s="4">
        <v>5</v>
      </c>
      <c r="I597" s="2" t="s">
        <v>24</v>
      </c>
      <c r="J597" s="2" t="s">
        <v>57</v>
      </c>
      <c r="K597" s="4">
        <v>4</v>
      </c>
      <c r="L597" s="4">
        <v>278.51</v>
      </c>
      <c r="M597" s="4">
        <v>1114.04</v>
      </c>
      <c r="N597" s="2" t="s">
        <v>31</v>
      </c>
    </row>
    <row r="598" spans="1:14" ht="15" x14ac:dyDescent="0.25">
      <c r="A598" s="2" t="s">
        <v>641</v>
      </c>
      <c r="B598" s="2" t="s">
        <v>22</v>
      </c>
      <c r="C598" s="2" t="s">
        <v>34</v>
      </c>
      <c r="D598" s="2" t="s">
        <v>23</v>
      </c>
      <c r="E598" s="3">
        <v>45288</v>
      </c>
      <c r="F598" s="3">
        <v>45293</v>
      </c>
      <c r="G598" s="4">
        <v>273</v>
      </c>
      <c r="H598" s="4">
        <v>5</v>
      </c>
      <c r="I598" s="2" t="s">
        <v>55</v>
      </c>
      <c r="J598" s="2" t="s">
        <v>19</v>
      </c>
      <c r="K598" s="4">
        <v>1</v>
      </c>
      <c r="L598" s="4">
        <v>238.67</v>
      </c>
      <c r="M598" s="4">
        <v>238.67</v>
      </c>
      <c r="N598" s="2" t="s">
        <v>26</v>
      </c>
    </row>
    <row r="599" spans="1:14" ht="15" x14ac:dyDescent="0.25">
      <c r="A599" s="2" t="s">
        <v>642</v>
      </c>
      <c r="B599" s="2" t="s">
        <v>41</v>
      </c>
      <c r="C599" s="2" t="s">
        <v>34</v>
      </c>
      <c r="D599" s="2" t="s">
        <v>54</v>
      </c>
      <c r="E599" s="3">
        <v>45173</v>
      </c>
      <c r="F599" s="3">
        <v>45179</v>
      </c>
      <c r="G599" s="4">
        <v>658</v>
      </c>
      <c r="H599" s="4">
        <v>6</v>
      </c>
      <c r="I599" s="2" t="s">
        <v>63</v>
      </c>
      <c r="J599" s="2" t="s">
        <v>19</v>
      </c>
      <c r="K599" s="4">
        <v>4</v>
      </c>
      <c r="L599" s="4">
        <v>58.16</v>
      </c>
      <c r="M599" s="4">
        <v>232.64</v>
      </c>
      <c r="N599" s="2" t="s">
        <v>20</v>
      </c>
    </row>
    <row r="600" spans="1:14" ht="15" x14ac:dyDescent="0.25">
      <c r="A600" s="2" t="s">
        <v>643</v>
      </c>
      <c r="B600" s="2" t="s">
        <v>75</v>
      </c>
      <c r="C600" s="2" t="s">
        <v>16</v>
      </c>
      <c r="D600" s="2" t="s">
        <v>35</v>
      </c>
      <c r="E600" s="3">
        <v>45089</v>
      </c>
      <c r="F600" s="3">
        <v>45097</v>
      </c>
      <c r="G600" s="4">
        <v>626</v>
      </c>
      <c r="H600" s="4">
        <v>8</v>
      </c>
      <c r="I600" s="2" t="s">
        <v>55</v>
      </c>
      <c r="J600" s="2" t="s">
        <v>49</v>
      </c>
      <c r="K600" s="4">
        <v>3</v>
      </c>
      <c r="L600" s="4">
        <v>406.74</v>
      </c>
      <c r="M600" s="4">
        <v>1220.22</v>
      </c>
      <c r="N600" s="2" t="s">
        <v>20</v>
      </c>
    </row>
    <row r="601" spans="1:14" ht="15" x14ac:dyDescent="0.25">
      <c r="A601" s="2" t="s">
        <v>644</v>
      </c>
      <c r="B601" s="2" t="s">
        <v>45</v>
      </c>
      <c r="C601" s="2" t="s">
        <v>34</v>
      </c>
      <c r="D601" s="2" t="s">
        <v>17</v>
      </c>
      <c r="E601" s="3">
        <v>45163</v>
      </c>
      <c r="F601" s="3">
        <v>45169</v>
      </c>
      <c r="G601" s="4">
        <v>972</v>
      </c>
      <c r="H601" s="4">
        <v>6</v>
      </c>
      <c r="I601" s="2" t="s">
        <v>18</v>
      </c>
      <c r="J601" s="2" t="s">
        <v>57</v>
      </c>
      <c r="K601" s="4">
        <v>1</v>
      </c>
      <c r="L601" s="4">
        <v>81.069999999999993</v>
      </c>
      <c r="M601" s="4">
        <v>81.069999999999993</v>
      </c>
      <c r="N601" s="2" t="s">
        <v>20</v>
      </c>
    </row>
    <row r="602" spans="1:14" ht="15" x14ac:dyDescent="0.25">
      <c r="A602" s="2" t="s">
        <v>645</v>
      </c>
      <c r="B602" s="2" t="s">
        <v>75</v>
      </c>
      <c r="C602" s="2" t="s">
        <v>46</v>
      </c>
      <c r="D602" s="2" t="s">
        <v>47</v>
      </c>
      <c r="E602" s="3">
        <v>45143</v>
      </c>
      <c r="F602" s="3">
        <v>45144</v>
      </c>
      <c r="G602" s="4">
        <v>758</v>
      </c>
      <c r="H602" s="4">
        <v>1</v>
      </c>
      <c r="I602" s="2" t="s">
        <v>63</v>
      </c>
      <c r="J602" s="2" t="s">
        <v>25</v>
      </c>
      <c r="K602" s="4">
        <v>1</v>
      </c>
      <c r="L602" s="4">
        <v>263.41000000000003</v>
      </c>
      <c r="M602" s="4">
        <v>263.41000000000003</v>
      </c>
      <c r="N602" s="2" t="s">
        <v>43</v>
      </c>
    </row>
    <row r="603" spans="1:14" ht="15" x14ac:dyDescent="0.25">
      <c r="A603" s="2" t="s">
        <v>646</v>
      </c>
      <c r="B603" s="2" t="s">
        <v>28</v>
      </c>
      <c r="C603" s="2" t="s">
        <v>76</v>
      </c>
      <c r="D603" s="2" t="s">
        <v>17</v>
      </c>
      <c r="E603" s="3">
        <v>45067</v>
      </c>
      <c r="F603" s="3">
        <v>45075</v>
      </c>
      <c r="G603" s="4">
        <v>125</v>
      </c>
      <c r="H603" s="4">
        <v>8</v>
      </c>
      <c r="I603" s="2" t="s">
        <v>24</v>
      </c>
      <c r="J603" s="2" t="s">
        <v>25</v>
      </c>
      <c r="K603" s="4">
        <v>3</v>
      </c>
      <c r="L603" s="4">
        <v>302.31</v>
      </c>
      <c r="M603" s="4">
        <v>906.93</v>
      </c>
      <c r="N603" s="2" t="s">
        <v>31</v>
      </c>
    </row>
    <row r="604" spans="1:14" ht="15" x14ac:dyDescent="0.25">
      <c r="A604" s="2" t="s">
        <v>647</v>
      </c>
      <c r="B604" s="2" t="s">
        <v>53</v>
      </c>
      <c r="C604" s="2" t="s">
        <v>37</v>
      </c>
      <c r="D604" s="2" t="s">
        <v>54</v>
      </c>
      <c r="E604" s="3">
        <v>44950</v>
      </c>
      <c r="F604" s="3">
        <v>44958</v>
      </c>
      <c r="G604" s="4">
        <v>919</v>
      </c>
      <c r="H604" s="4">
        <v>8</v>
      </c>
      <c r="I604" s="2" t="s">
        <v>51</v>
      </c>
      <c r="J604" s="2" t="s">
        <v>25</v>
      </c>
      <c r="K604" s="4">
        <v>3</v>
      </c>
      <c r="L604" s="4">
        <v>332.79</v>
      </c>
      <c r="M604" s="4">
        <v>998.37</v>
      </c>
      <c r="N604" s="2" t="s">
        <v>31</v>
      </c>
    </row>
    <row r="605" spans="1:14" ht="15" x14ac:dyDescent="0.25">
      <c r="A605" s="2" t="s">
        <v>648</v>
      </c>
      <c r="B605" s="2" t="s">
        <v>41</v>
      </c>
      <c r="C605" s="2" t="s">
        <v>34</v>
      </c>
      <c r="D605" s="2" t="s">
        <v>47</v>
      </c>
      <c r="E605" s="3">
        <v>45226</v>
      </c>
      <c r="F605" s="3">
        <v>45235</v>
      </c>
      <c r="G605" s="4">
        <v>704</v>
      </c>
      <c r="H605" s="4">
        <v>9</v>
      </c>
      <c r="I605" s="2" t="s">
        <v>63</v>
      </c>
      <c r="J605" s="2" t="s">
        <v>49</v>
      </c>
      <c r="K605" s="4">
        <v>1</v>
      </c>
      <c r="L605" s="4">
        <v>359.88</v>
      </c>
      <c r="M605" s="4">
        <v>359.88</v>
      </c>
      <c r="N605" s="2" t="s">
        <v>26</v>
      </c>
    </row>
    <row r="606" spans="1:14" ht="15" x14ac:dyDescent="0.25">
      <c r="A606" s="2" t="s">
        <v>649</v>
      </c>
      <c r="B606" s="2" t="s">
        <v>41</v>
      </c>
      <c r="C606" s="2" t="s">
        <v>37</v>
      </c>
      <c r="D606" s="2" t="s">
        <v>35</v>
      </c>
      <c r="E606" s="3">
        <v>45062</v>
      </c>
      <c r="F606" s="3">
        <v>45071</v>
      </c>
      <c r="G606" s="4">
        <v>505</v>
      </c>
      <c r="H606" s="4">
        <v>9</v>
      </c>
      <c r="I606" s="2" t="s">
        <v>18</v>
      </c>
      <c r="J606" s="2" t="s">
        <v>49</v>
      </c>
      <c r="K606" s="4">
        <v>3</v>
      </c>
      <c r="L606" s="4">
        <v>163.97</v>
      </c>
      <c r="M606" s="4">
        <v>491.91</v>
      </c>
      <c r="N606" s="2" t="s">
        <v>26</v>
      </c>
    </row>
    <row r="607" spans="1:14" ht="15" x14ac:dyDescent="0.25">
      <c r="A607" s="2" t="s">
        <v>650</v>
      </c>
      <c r="B607" s="2" t="s">
        <v>33</v>
      </c>
      <c r="C607" s="2" t="s">
        <v>16</v>
      </c>
      <c r="D607" s="2" t="s">
        <v>54</v>
      </c>
      <c r="E607" s="3">
        <v>45225</v>
      </c>
      <c r="F607" s="3">
        <v>45227</v>
      </c>
      <c r="G607" s="4">
        <v>331</v>
      </c>
      <c r="H607" s="4">
        <v>2</v>
      </c>
      <c r="I607" s="2" t="s">
        <v>30</v>
      </c>
      <c r="J607" s="2" t="s">
        <v>39</v>
      </c>
      <c r="K607" s="4">
        <v>2</v>
      </c>
      <c r="L607" s="4">
        <v>54.49</v>
      </c>
      <c r="M607" s="4">
        <v>108.98</v>
      </c>
      <c r="N607" s="2" t="s">
        <v>43</v>
      </c>
    </row>
    <row r="608" spans="1:14" ht="15" x14ac:dyDescent="0.25">
      <c r="A608" s="2" t="s">
        <v>651</v>
      </c>
      <c r="B608" s="2" t="s">
        <v>15</v>
      </c>
      <c r="C608" s="2" t="s">
        <v>61</v>
      </c>
      <c r="D608" s="2" t="s">
        <v>23</v>
      </c>
      <c r="E608" s="3">
        <v>45019</v>
      </c>
      <c r="F608" s="3">
        <v>45021</v>
      </c>
      <c r="G608" s="4">
        <v>632</v>
      </c>
      <c r="H608" s="4">
        <v>2</v>
      </c>
      <c r="I608" s="2" t="s">
        <v>51</v>
      </c>
      <c r="J608" s="2" t="s">
        <v>57</v>
      </c>
      <c r="K608" s="4">
        <v>4</v>
      </c>
      <c r="L608" s="4">
        <v>375.55</v>
      </c>
      <c r="M608" s="4">
        <v>1502.2</v>
      </c>
      <c r="N608" s="2" t="s">
        <v>43</v>
      </c>
    </row>
    <row r="609" spans="1:14" ht="15" x14ac:dyDescent="0.25">
      <c r="A609" s="2" t="s">
        <v>652</v>
      </c>
      <c r="B609" s="2" t="s">
        <v>75</v>
      </c>
      <c r="C609" s="2" t="s">
        <v>61</v>
      </c>
      <c r="D609" s="2" t="s">
        <v>47</v>
      </c>
      <c r="E609" s="3">
        <v>44927</v>
      </c>
      <c r="F609" s="3">
        <v>44930</v>
      </c>
      <c r="G609" s="4">
        <v>918</v>
      </c>
      <c r="H609" s="4">
        <v>3</v>
      </c>
      <c r="I609" s="2" t="s">
        <v>51</v>
      </c>
      <c r="J609" s="2" t="s">
        <v>19</v>
      </c>
      <c r="K609" s="4">
        <v>4</v>
      </c>
      <c r="L609" s="4">
        <v>291.05</v>
      </c>
      <c r="M609" s="4">
        <v>1164.2</v>
      </c>
      <c r="N609" s="2" t="s">
        <v>20</v>
      </c>
    </row>
    <row r="610" spans="1:14" ht="15" x14ac:dyDescent="0.25">
      <c r="A610" s="2" t="s">
        <v>653</v>
      </c>
      <c r="B610" s="2" t="s">
        <v>33</v>
      </c>
      <c r="C610" s="2" t="s">
        <v>76</v>
      </c>
      <c r="D610" s="2" t="s">
        <v>23</v>
      </c>
      <c r="E610" s="3">
        <v>44985</v>
      </c>
      <c r="F610" s="3">
        <v>44986</v>
      </c>
      <c r="G610" s="4">
        <v>649</v>
      </c>
      <c r="H610" s="4">
        <v>1</v>
      </c>
      <c r="I610" s="2" t="s">
        <v>51</v>
      </c>
      <c r="J610" s="2" t="s">
        <v>19</v>
      </c>
      <c r="K610" s="4">
        <v>4</v>
      </c>
      <c r="L610" s="4">
        <v>426.25</v>
      </c>
      <c r="M610" s="4">
        <v>1705</v>
      </c>
      <c r="N610" s="2" t="s">
        <v>20</v>
      </c>
    </row>
    <row r="611" spans="1:14" ht="15" x14ac:dyDescent="0.25">
      <c r="A611" s="2" t="s">
        <v>457</v>
      </c>
      <c r="B611" s="2" t="s">
        <v>41</v>
      </c>
      <c r="C611" s="2" t="s">
        <v>16</v>
      </c>
      <c r="D611" s="2" t="s">
        <v>17</v>
      </c>
      <c r="E611" s="3">
        <v>45098</v>
      </c>
      <c r="F611" s="3">
        <v>45102</v>
      </c>
      <c r="G611" s="4">
        <v>887</v>
      </c>
      <c r="H611" s="4">
        <v>4</v>
      </c>
      <c r="I611" s="2" t="s">
        <v>63</v>
      </c>
      <c r="J611" s="2" t="s">
        <v>39</v>
      </c>
      <c r="K611" s="4">
        <v>2</v>
      </c>
      <c r="L611" s="4">
        <v>419.62</v>
      </c>
      <c r="M611" s="4">
        <v>839.24</v>
      </c>
      <c r="N611" s="2" t="s">
        <v>20</v>
      </c>
    </row>
    <row r="612" spans="1:14" ht="15" x14ac:dyDescent="0.25">
      <c r="A612" s="2" t="s">
        <v>654</v>
      </c>
      <c r="B612" s="2" t="s">
        <v>28</v>
      </c>
      <c r="C612" s="2" t="s">
        <v>76</v>
      </c>
      <c r="D612" s="2" t="s">
        <v>17</v>
      </c>
      <c r="E612" s="3">
        <v>45271</v>
      </c>
      <c r="F612" s="3">
        <v>45275</v>
      </c>
      <c r="G612" s="4">
        <v>604</v>
      </c>
      <c r="H612" s="4">
        <v>4</v>
      </c>
      <c r="I612" s="2" t="s">
        <v>42</v>
      </c>
      <c r="J612" s="2" t="s">
        <v>25</v>
      </c>
      <c r="K612" s="4">
        <v>3</v>
      </c>
      <c r="L612" s="4">
        <v>429.5</v>
      </c>
      <c r="M612" s="4">
        <v>1288.5</v>
      </c>
      <c r="N612" s="2" t="s">
        <v>43</v>
      </c>
    </row>
    <row r="613" spans="1:14" ht="15" x14ac:dyDescent="0.25">
      <c r="A613" s="2" t="s">
        <v>525</v>
      </c>
      <c r="B613" s="2" t="s">
        <v>33</v>
      </c>
      <c r="C613" s="2" t="s">
        <v>76</v>
      </c>
      <c r="D613" s="2" t="s">
        <v>47</v>
      </c>
      <c r="E613" s="3">
        <v>44964</v>
      </c>
      <c r="F613" s="3">
        <v>44973</v>
      </c>
      <c r="G613" s="4">
        <v>768</v>
      </c>
      <c r="H613" s="4">
        <v>9</v>
      </c>
      <c r="I613" s="2" t="s">
        <v>18</v>
      </c>
      <c r="J613" s="2" t="s">
        <v>49</v>
      </c>
      <c r="K613" s="4">
        <v>3</v>
      </c>
      <c r="L613" s="4">
        <v>268.29000000000002</v>
      </c>
      <c r="M613" s="4">
        <v>804.87</v>
      </c>
      <c r="N613" s="2" t="s">
        <v>43</v>
      </c>
    </row>
    <row r="614" spans="1:14" ht="15" x14ac:dyDescent="0.25">
      <c r="A614" s="2" t="s">
        <v>655</v>
      </c>
      <c r="B614" s="2" t="s">
        <v>45</v>
      </c>
      <c r="C614" s="2" t="s">
        <v>76</v>
      </c>
      <c r="D614" s="2" t="s">
        <v>35</v>
      </c>
      <c r="E614" s="3">
        <v>45238</v>
      </c>
      <c r="F614" s="3">
        <v>45247</v>
      </c>
      <c r="G614" s="4">
        <v>278</v>
      </c>
      <c r="H614" s="4">
        <v>9</v>
      </c>
      <c r="I614" s="2" t="s">
        <v>42</v>
      </c>
      <c r="J614" s="2" t="s">
        <v>25</v>
      </c>
      <c r="K614" s="4">
        <v>1</v>
      </c>
      <c r="L614" s="4">
        <v>200.13</v>
      </c>
      <c r="M614" s="4">
        <v>200.13</v>
      </c>
      <c r="N614" s="2" t="s">
        <v>43</v>
      </c>
    </row>
    <row r="615" spans="1:14" ht="15" x14ac:dyDescent="0.25">
      <c r="A615" s="2" t="s">
        <v>656</v>
      </c>
      <c r="B615" s="2" t="s">
        <v>28</v>
      </c>
      <c r="C615" s="2" t="s">
        <v>16</v>
      </c>
      <c r="D615" s="2" t="s">
        <v>47</v>
      </c>
      <c r="E615" s="3">
        <v>45119</v>
      </c>
      <c r="F615" s="3">
        <v>45128</v>
      </c>
      <c r="G615" s="4">
        <v>231</v>
      </c>
      <c r="H615" s="4">
        <v>9</v>
      </c>
      <c r="I615" s="2" t="s">
        <v>42</v>
      </c>
      <c r="J615" s="2" t="s">
        <v>39</v>
      </c>
      <c r="K615" s="4">
        <v>3</v>
      </c>
      <c r="L615" s="4">
        <v>406.2</v>
      </c>
      <c r="M615" s="4">
        <v>1218.5999999999999</v>
      </c>
      <c r="N615" s="2" t="s">
        <v>31</v>
      </c>
    </row>
    <row r="616" spans="1:14" ht="15" x14ac:dyDescent="0.25">
      <c r="A616" s="2" t="s">
        <v>657</v>
      </c>
      <c r="B616" s="2" t="s">
        <v>75</v>
      </c>
      <c r="C616" s="2" t="s">
        <v>16</v>
      </c>
      <c r="D616" s="2" t="s">
        <v>47</v>
      </c>
      <c r="E616" s="3">
        <v>45228</v>
      </c>
      <c r="F616" s="3">
        <v>45235</v>
      </c>
      <c r="G616" s="4">
        <v>922</v>
      </c>
      <c r="H616" s="4">
        <v>7</v>
      </c>
      <c r="I616" s="2" t="s">
        <v>63</v>
      </c>
      <c r="J616" s="2" t="s">
        <v>19</v>
      </c>
      <c r="K616" s="4">
        <v>1</v>
      </c>
      <c r="L616" s="4">
        <v>253.08</v>
      </c>
      <c r="M616" s="4">
        <v>253.08</v>
      </c>
      <c r="N616" s="2" t="s">
        <v>20</v>
      </c>
    </row>
    <row r="617" spans="1:14" ht="15" x14ac:dyDescent="0.25">
      <c r="A617" s="2" t="s">
        <v>658</v>
      </c>
      <c r="B617" s="2" t="s">
        <v>53</v>
      </c>
      <c r="C617" s="2" t="s">
        <v>34</v>
      </c>
      <c r="D617" s="2" t="s">
        <v>23</v>
      </c>
      <c r="E617" s="3">
        <v>45035</v>
      </c>
      <c r="F617" s="3">
        <v>45037</v>
      </c>
      <c r="G617" s="4">
        <v>554</v>
      </c>
      <c r="H617" s="4">
        <v>2</v>
      </c>
      <c r="I617" s="2" t="s">
        <v>42</v>
      </c>
      <c r="J617" s="2" t="s">
        <v>39</v>
      </c>
      <c r="K617" s="4">
        <v>2</v>
      </c>
      <c r="L617" s="4">
        <v>132.55000000000001</v>
      </c>
      <c r="M617" s="4">
        <v>265.10000000000002</v>
      </c>
      <c r="N617" s="2" t="s">
        <v>20</v>
      </c>
    </row>
    <row r="618" spans="1:14" ht="15" x14ac:dyDescent="0.25">
      <c r="A618" s="2" t="s">
        <v>659</v>
      </c>
      <c r="B618" s="2" t="s">
        <v>41</v>
      </c>
      <c r="C618" s="2" t="s">
        <v>37</v>
      </c>
      <c r="D618" s="2" t="s">
        <v>35</v>
      </c>
      <c r="E618" s="3">
        <v>45233</v>
      </c>
      <c r="F618" s="3">
        <v>45238</v>
      </c>
      <c r="G618" s="4">
        <v>447</v>
      </c>
      <c r="H618" s="4">
        <v>5</v>
      </c>
      <c r="I618" s="2" t="s">
        <v>51</v>
      </c>
      <c r="J618" s="2" t="s">
        <v>49</v>
      </c>
      <c r="K618" s="4">
        <v>4</v>
      </c>
      <c r="L618" s="4">
        <v>434.74</v>
      </c>
      <c r="M618" s="4">
        <v>1738.96</v>
      </c>
      <c r="N618" s="2" t="s">
        <v>26</v>
      </c>
    </row>
    <row r="619" spans="1:14" ht="15" x14ac:dyDescent="0.25">
      <c r="A619" s="2" t="s">
        <v>660</v>
      </c>
      <c r="B619" s="2" t="s">
        <v>33</v>
      </c>
      <c r="C619" s="2" t="s">
        <v>29</v>
      </c>
      <c r="D619" s="2" t="s">
        <v>54</v>
      </c>
      <c r="E619" s="3">
        <v>45209</v>
      </c>
      <c r="F619" s="3">
        <v>45213</v>
      </c>
      <c r="G619" s="4">
        <v>639</v>
      </c>
      <c r="H619" s="4">
        <v>4</v>
      </c>
      <c r="I619" s="2" t="s">
        <v>30</v>
      </c>
      <c r="J619" s="2" t="s">
        <v>25</v>
      </c>
      <c r="K619" s="4">
        <v>4</v>
      </c>
      <c r="L619" s="4">
        <v>447.15</v>
      </c>
      <c r="M619" s="4">
        <v>1788.6</v>
      </c>
      <c r="N619" s="2" t="s">
        <v>31</v>
      </c>
    </row>
    <row r="620" spans="1:14" ht="15" x14ac:dyDescent="0.25">
      <c r="A620" s="2" t="s">
        <v>661</v>
      </c>
      <c r="B620" s="2" t="s">
        <v>15</v>
      </c>
      <c r="C620" s="2" t="s">
        <v>76</v>
      </c>
      <c r="D620" s="2" t="s">
        <v>17</v>
      </c>
      <c r="E620" s="3">
        <v>45010</v>
      </c>
      <c r="F620" s="3">
        <v>45018</v>
      </c>
      <c r="G620" s="4">
        <v>871</v>
      </c>
      <c r="H620" s="4">
        <v>8</v>
      </c>
      <c r="I620" s="2" t="s">
        <v>63</v>
      </c>
      <c r="J620" s="2" t="s">
        <v>57</v>
      </c>
      <c r="K620" s="4">
        <v>4</v>
      </c>
      <c r="L620" s="4">
        <v>259.83999999999997</v>
      </c>
      <c r="M620" s="4">
        <v>1039.3599999999999</v>
      </c>
      <c r="N620" s="2" t="s">
        <v>26</v>
      </c>
    </row>
    <row r="621" spans="1:14" ht="15" x14ac:dyDescent="0.25">
      <c r="A621" s="2" t="s">
        <v>662</v>
      </c>
      <c r="B621" s="2" t="s">
        <v>75</v>
      </c>
      <c r="C621" s="2" t="s">
        <v>61</v>
      </c>
      <c r="D621" s="2" t="s">
        <v>35</v>
      </c>
      <c r="E621" s="3">
        <v>44974</v>
      </c>
      <c r="F621" s="3">
        <v>44976</v>
      </c>
      <c r="G621" s="4">
        <v>505</v>
      </c>
      <c r="H621" s="4">
        <v>2</v>
      </c>
      <c r="I621" s="2" t="s">
        <v>63</v>
      </c>
      <c r="J621" s="2" t="s">
        <v>25</v>
      </c>
      <c r="K621" s="4">
        <v>3</v>
      </c>
      <c r="L621" s="4">
        <v>84.06</v>
      </c>
      <c r="M621" s="4">
        <v>252.18</v>
      </c>
      <c r="N621" s="2" t="s">
        <v>26</v>
      </c>
    </row>
    <row r="622" spans="1:14" ht="15" x14ac:dyDescent="0.25">
      <c r="A622" s="2" t="s">
        <v>663</v>
      </c>
      <c r="B622" s="2" t="s">
        <v>75</v>
      </c>
      <c r="C622" s="2" t="s">
        <v>76</v>
      </c>
      <c r="D622" s="2" t="s">
        <v>17</v>
      </c>
      <c r="E622" s="3">
        <v>45243</v>
      </c>
      <c r="F622" s="3">
        <v>45249</v>
      </c>
      <c r="G622" s="4">
        <v>175</v>
      </c>
      <c r="H622" s="4">
        <v>6</v>
      </c>
      <c r="I622" s="2" t="s">
        <v>63</v>
      </c>
      <c r="J622" s="2" t="s">
        <v>25</v>
      </c>
      <c r="K622" s="4">
        <v>1</v>
      </c>
      <c r="L622" s="4">
        <v>224.52</v>
      </c>
      <c r="M622" s="4">
        <v>224.52</v>
      </c>
      <c r="N622" s="2" t="s">
        <v>26</v>
      </c>
    </row>
    <row r="623" spans="1:14" ht="15" x14ac:dyDescent="0.25">
      <c r="A623" s="2" t="s">
        <v>664</v>
      </c>
      <c r="B623" s="2" t="s">
        <v>41</v>
      </c>
      <c r="C623" s="2" t="s">
        <v>61</v>
      </c>
      <c r="D623" s="2" t="s">
        <v>23</v>
      </c>
      <c r="E623" s="3">
        <v>45278</v>
      </c>
      <c r="F623" s="3">
        <v>45283</v>
      </c>
      <c r="G623" s="4">
        <v>678</v>
      </c>
      <c r="H623" s="4">
        <v>5</v>
      </c>
      <c r="I623" s="2" t="s">
        <v>30</v>
      </c>
      <c r="J623" s="2" t="s">
        <v>19</v>
      </c>
      <c r="K623" s="4">
        <v>1</v>
      </c>
      <c r="L623" s="4">
        <v>411.59</v>
      </c>
      <c r="M623" s="4">
        <v>411.59</v>
      </c>
      <c r="N623" s="2" t="s">
        <v>43</v>
      </c>
    </row>
    <row r="624" spans="1:14" ht="15" x14ac:dyDescent="0.25">
      <c r="A624" s="2" t="s">
        <v>665</v>
      </c>
      <c r="B624" s="2" t="s">
        <v>45</v>
      </c>
      <c r="C624" s="2" t="s">
        <v>76</v>
      </c>
      <c r="D624" s="2" t="s">
        <v>54</v>
      </c>
      <c r="E624" s="3">
        <v>44938</v>
      </c>
      <c r="F624" s="3">
        <v>44940</v>
      </c>
      <c r="G624" s="4">
        <v>953</v>
      </c>
      <c r="H624" s="4">
        <v>2</v>
      </c>
      <c r="I624" s="2" t="s">
        <v>30</v>
      </c>
      <c r="J624" s="2" t="s">
        <v>25</v>
      </c>
      <c r="K624" s="4">
        <v>2</v>
      </c>
      <c r="L624" s="4">
        <v>455.8</v>
      </c>
      <c r="M624" s="4">
        <v>911.6</v>
      </c>
      <c r="N624" s="2" t="s">
        <v>31</v>
      </c>
    </row>
    <row r="625" spans="1:14" ht="15" x14ac:dyDescent="0.25">
      <c r="A625" s="2" t="s">
        <v>666</v>
      </c>
      <c r="B625" s="2" t="s">
        <v>41</v>
      </c>
      <c r="C625" s="2" t="s">
        <v>34</v>
      </c>
      <c r="D625" s="2" t="s">
        <v>47</v>
      </c>
      <c r="E625" s="3">
        <v>45193</v>
      </c>
      <c r="F625" s="3">
        <v>45194</v>
      </c>
      <c r="G625" s="4">
        <v>591</v>
      </c>
      <c r="H625" s="4">
        <v>1</v>
      </c>
      <c r="I625" s="2" t="s">
        <v>24</v>
      </c>
      <c r="J625" s="2" t="s">
        <v>49</v>
      </c>
      <c r="K625" s="4">
        <v>3</v>
      </c>
      <c r="L625" s="4">
        <v>141.56</v>
      </c>
      <c r="M625" s="4">
        <v>424.68</v>
      </c>
      <c r="N625" s="2" t="s">
        <v>26</v>
      </c>
    </row>
    <row r="626" spans="1:14" ht="15" x14ac:dyDescent="0.25">
      <c r="A626" s="2" t="s">
        <v>667</v>
      </c>
      <c r="B626" s="2" t="s">
        <v>15</v>
      </c>
      <c r="C626" s="2" t="s">
        <v>76</v>
      </c>
      <c r="D626" s="2" t="s">
        <v>17</v>
      </c>
      <c r="E626" s="3">
        <v>45258</v>
      </c>
      <c r="F626" s="3">
        <v>45266</v>
      </c>
      <c r="G626" s="4">
        <v>293</v>
      </c>
      <c r="H626" s="4">
        <v>8</v>
      </c>
      <c r="I626" s="2" t="s">
        <v>51</v>
      </c>
      <c r="J626" s="2" t="s">
        <v>19</v>
      </c>
      <c r="K626" s="4">
        <v>2</v>
      </c>
      <c r="L626" s="4">
        <v>80.14</v>
      </c>
      <c r="M626" s="4">
        <v>160.28</v>
      </c>
      <c r="N626" s="2" t="s">
        <v>26</v>
      </c>
    </row>
    <row r="627" spans="1:14" ht="15" x14ac:dyDescent="0.25">
      <c r="A627" s="2" t="s">
        <v>668</v>
      </c>
      <c r="B627" s="2" t="s">
        <v>75</v>
      </c>
      <c r="C627" s="2" t="s">
        <v>34</v>
      </c>
      <c r="D627" s="2" t="s">
        <v>35</v>
      </c>
      <c r="E627" s="3">
        <v>45239</v>
      </c>
      <c r="F627" s="3">
        <v>45241</v>
      </c>
      <c r="G627" s="4">
        <v>261</v>
      </c>
      <c r="H627" s="4">
        <v>2</v>
      </c>
      <c r="I627" s="2" t="s">
        <v>30</v>
      </c>
      <c r="J627" s="2" t="s">
        <v>39</v>
      </c>
      <c r="K627" s="4">
        <v>1</v>
      </c>
      <c r="L627" s="4">
        <v>444.81</v>
      </c>
      <c r="M627" s="4">
        <v>444.81</v>
      </c>
      <c r="N627" s="2" t="s">
        <v>26</v>
      </c>
    </row>
    <row r="628" spans="1:14" ht="15" x14ac:dyDescent="0.25">
      <c r="A628" s="2" t="s">
        <v>669</v>
      </c>
      <c r="B628" s="2" t="s">
        <v>41</v>
      </c>
      <c r="C628" s="2" t="s">
        <v>34</v>
      </c>
      <c r="D628" s="2" t="s">
        <v>35</v>
      </c>
      <c r="E628" s="3">
        <v>45279</v>
      </c>
      <c r="F628" s="3">
        <v>45286</v>
      </c>
      <c r="G628" s="4">
        <v>446</v>
      </c>
      <c r="H628" s="4">
        <v>7</v>
      </c>
      <c r="I628" s="2" t="s">
        <v>55</v>
      </c>
      <c r="J628" s="2" t="s">
        <v>25</v>
      </c>
      <c r="K628" s="4">
        <v>1</v>
      </c>
      <c r="L628" s="4">
        <v>225.23</v>
      </c>
      <c r="M628" s="4">
        <v>225.23</v>
      </c>
      <c r="N628" s="2" t="s">
        <v>20</v>
      </c>
    </row>
    <row r="629" spans="1:14" ht="15" x14ac:dyDescent="0.25">
      <c r="A629" s="2" t="s">
        <v>670</v>
      </c>
      <c r="B629" s="2" t="s">
        <v>15</v>
      </c>
      <c r="C629" s="2" t="s">
        <v>29</v>
      </c>
      <c r="D629" s="2" t="s">
        <v>54</v>
      </c>
      <c r="E629" s="3">
        <v>45204</v>
      </c>
      <c r="F629" s="3">
        <v>45213</v>
      </c>
      <c r="G629" s="4">
        <v>460</v>
      </c>
      <c r="H629" s="4">
        <v>9</v>
      </c>
      <c r="I629" s="2" t="s">
        <v>30</v>
      </c>
      <c r="J629" s="2" t="s">
        <v>19</v>
      </c>
      <c r="K629" s="4">
        <v>4</v>
      </c>
      <c r="L629" s="4">
        <v>293.79000000000002</v>
      </c>
      <c r="M629" s="4">
        <v>1175.1600000000001</v>
      </c>
      <c r="N629" s="2" t="s">
        <v>26</v>
      </c>
    </row>
    <row r="630" spans="1:14" ht="15" x14ac:dyDescent="0.25">
      <c r="A630" s="2" t="s">
        <v>671</v>
      </c>
      <c r="B630" s="2" t="s">
        <v>15</v>
      </c>
      <c r="C630" s="2" t="s">
        <v>61</v>
      </c>
      <c r="D630" s="2" t="s">
        <v>23</v>
      </c>
      <c r="E630" s="3">
        <v>45088</v>
      </c>
      <c r="F630" s="3">
        <v>45097</v>
      </c>
      <c r="G630" s="4">
        <v>868</v>
      </c>
      <c r="H630" s="4">
        <v>9</v>
      </c>
      <c r="I630" s="2" t="s">
        <v>55</v>
      </c>
      <c r="J630" s="2" t="s">
        <v>19</v>
      </c>
      <c r="K630" s="4">
        <v>3</v>
      </c>
      <c r="L630" s="4">
        <v>485.63</v>
      </c>
      <c r="M630" s="4">
        <v>1456.89</v>
      </c>
      <c r="N630" s="2" t="s">
        <v>20</v>
      </c>
    </row>
    <row r="631" spans="1:14" ht="15" x14ac:dyDescent="0.25">
      <c r="A631" s="2" t="s">
        <v>672</v>
      </c>
      <c r="B631" s="2" t="s">
        <v>53</v>
      </c>
      <c r="C631" s="2" t="s">
        <v>29</v>
      </c>
      <c r="D631" s="2" t="s">
        <v>47</v>
      </c>
      <c r="E631" s="3">
        <v>45040</v>
      </c>
      <c r="F631" s="3">
        <v>45048</v>
      </c>
      <c r="G631" s="4">
        <v>683</v>
      </c>
      <c r="H631" s="4">
        <v>8</v>
      </c>
      <c r="I631" s="2" t="s">
        <v>55</v>
      </c>
      <c r="J631" s="2" t="s">
        <v>39</v>
      </c>
      <c r="K631" s="4">
        <v>1</v>
      </c>
      <c r="L631" s="4">
        <v>79.95</v>
      </c>
      <c r="M631" s="4">
        <v>79.95</v>
      </c>
      <c r="N631" s="2" t="s">
        <v>31</v>
      </c>
    </row>
    <row r="632" spans="1:14" ht="15" x14ac:dyDescent="0.25">
      <c r="A632" s="2" t="s">
        <v>673</v>
      </c>
      <c r="B632" s="2" t="s">
        <v>33</v>
      </c>
      <c r="C632" s="2" t="s">
        <v>16</v>
      </c>
      <c r="D632" s="2" t="s">
        <v>35</v>
      </c>
      <c r="E632" s="3">
        <v>45044</v>
      </c>
      <c r="F632" s="3">
        <v>45053</v>
      </c>
      <c r="G632" s="4">
        <v>186</v>
      </c>
      <c r="H632" s="4">
        <v>9</v>
      </c>
      <c r="I632" s="2" t="s">
        <v>63</v>
      </c>
      <c r="J632" s="2" t="s">
        <v>57</v>
      </c>
      <c r="K632" s="4">
        <v>4</v>
      </c>
      <c r="L632" s="4">
        <v>341.74</v>
      </c>
      <c r="M632" s="4">
        <v>1366.96</v>
      </c>
      <c r="N632" s="2" t="s">
        <v>26</v>
      </c>
    </row>
    <row r="633" spans="1:14" ht="15" x14ac:dyDescent="0.25">
      <c r="A633" s="2" t="s">
        <v>674</v>
      </c>
      <c r="B633" s="2" t="s">
        <v>22</v>
      </c>
      <c r="C633" s="2" t="s">
        <v>34</v>
      </c>
      <c r="D633" s="2" t="s">
        <v>17</v>
      </c>
      <c r="E633" s="3">
        <v>45191</v>
      </c>
      <c r="F633" s="3">
        <v>45193</v>
      </c>
      <c r="G633" s="4">
        <v>361</v>
      </c>
      <c r="H633" s="4">
        <v>2</v>
      </c>
      <c r="I633" s="2" t="s">
        <v>63</v>
      </c>
      <c r="J633" s="2" t="s">
        <v>49</v>
      </c>
      <c r="K633" s="4">
        <v>3</v>
      </c>
      <c r="L633" s="4">
        <v>83.35</v>
      </c>
      <c r="M633" s="4">
        <v>250.05</v>
      </c>
      <c r="N633" s="2" t="s">
        <v>31</v>
      </c>
    </row>
    <row r="634" spans="1:14" ht="15" x14ac:dyDescent="0.25">
      <c r="A634" s="2" t="s">
        <v>675</v>
      </c>
      <c r="B634" s="2" t="s">
        <v>33</v>
      </c>
      <c r="C634" s="2" t="s">
        <v>46</v>
      </c>
      <c r="D634" s="2" t="s">
        <v>54</v>
      </c>
      <c r="E634" s="3">
        <v>45199</v>
      </c>
      <c r="F634" s="3">
        <v>45205</v>
      </c>
      <c r="G634" s="4">
        <v>313</v>
      </c>
      <c r="H634" s="4">
        <v>6</v>
      </c>
      <c r="I634" s="2" t="s">
        <v>42</v>
      </c>
      <c r="J634" s="2" t="s">
        <v>57</v>
      </c>
      <c r="K634" s="4">
        <v>2</v>
      </c>
      <c r="L634" s="4">
        <v>218.96</v>
      </c>
      <c r="M634" s="4">
        <v>437.92</v>
      </c>
      <c r="N634" s="2" t="s">
        <v>26</v>
      </c>
    </row>
    <row r="635" spans="1:14" ht="15" x14ac:dyDescent="0.25">
      <c r="A635" s="2" t="s">
        <v>676</v>
      </c>
      <c r="B635" s="2" t="s">
        <v>53</v>
      </c>
      <c r="C635" s="2" t="s">
        <v>76</v>
      </c>
      <c r="D635" s="2" t="s">
        <v>54</v>
      </c>
      <c r="E635" s="3">
        <v>45000</v>
      </c>
      <c r="F635" s="3">
        <v>45004</v>
      </c>
      <c r="G635" s="4">
        <v>764</v>
      </c>
      <c r="H635" s="4">
        <v>4</v>
      </c>
      <c r="I635" s="2" t="s">
        <v>63</v>
      </c>
      <c r="J635" s="2" t="s">
        <v>25</v>
      </c>
      <c r="K635" s="4">
        <v>3</v>
      </c>
      <c r="L635" s="4">
        <v>411.72</v>
      </c>
      <c r="M635" s="4">
        <v>1235.1600000000001</v>
      </c>
      <c r="N635" s="2" t="s">
        <v>43</v>
      </c>
    </row>
    <row r="636" spans="1:14" ht="15" x14ac:dyDescent="0.25">
      <c r="A636" s="2" t="s">
        <v>677</v>
      </c>
      <c r="B636" s="2" t="s">
        <v>28</v>
      </c>
      <c r="C636" s="2" t="s">
        <v>46</v>
      </c>
      <c r="D636" s="2" t="s">
        <v>23</v>
      </c>
      <c r="E636" s="3">
        <v>45243</v>
      </c>
      <c r="F636" s="3">
        <v>45247</v>
      </c>
      <c r="G636" s="4">
        <v>821</v>
      </c>
      <c r="H636" s="4">
        <v>4</v>
      </c>
      <c r="I636" s="2" t="s">
        <v>42</v>
      </c>
      <c r="J636" s="2" t="s">
        <v>49</v>
      </c>
      <c r="K636" s="4">
        <v>3</v>
      </c>
      <c r="L636" s="4">
        <v>245.06</v>
      </c>
      <c r="M636" s="4">
        <v>735.18</v>
      </c>
      <c r="N636" s="2" t="s">
        <v>20</v>
      </c>
    </row>
    <row r="637" spans="1:14" ht="15" x14ac:dyDescent="0.25">
      <c r="A637" s="2" t="s">
        <v>678</v>
      </c>
      <c r="B637" s="2" t="s">
        <v>53</v>
      </c>
      <c r="C637" s="2" t="s">
        <v>46</v>
      </c>
      <c r="D637" s="2" t="s">
        <v>17</v>
      </c>
      <c r="E637" s="3">
        <v>45187</v>
      </c>
      <c r="F637" s="3">
        <v>45192</v>
      </c>
      <c r="G637" s="4">
        <v>672</v>
      </c>
      <c r="H637" s="4">
        <v>5</v>
      </c>
      <c r="I637" s="2" t="s">
        <v>30</v>
      </c>
      <c r="J637" s="2" t="s">
        <v>39</v>
      </c>
      <c r="K637" s="4">
        <v>1</v>
      </c>
      <c r="L637" s="4">
        <v>498.73</v>
      </c>
      <c r="M637" s="4">
        <v>498.73</v>
      </c>
      <c r="N637" s="2" t="s">
        <v>20</v>
      </c>
    </row>
    <row r="638" spans="1:14" ht="15" x14ac:dyDescent="0.25">
      <c r="A638" s="2" t="s">
        <v>679</v>
      </c>
      <c r="B638" s="2" t="s">
        <v>41</v>
      </c>
      <c r="C638" s="2" t="s">
        <v>16</v>
      </c>
      <c r="D638" s="2" t="s">
        <v>23</v>
      </c>
      <c r="E638" s="3">
        <v>45132</v>
      </c>
      <c r="F638" s="3">
        <v>45135</v>
      </c>
      <c r="G638" s="4">
        <v>879</v>
      </c>
      <c r="H638" s="4">
        <v>3</v>
      </c>
      <c r="I638" s="2" t="s">
        <v>42</v>
      </c>
      <c r="J638" s="2" t="s">
        <v>57</v>
      </c>
      <c r="K638" s="4">
        <v>1</v>
      </c>
      <c r="L638" s="4">
        <v>301.58</v>
      </c>
      <c r="M638" s="4">
        <v>301.58</v>
      </c>
      <c r="N638" s="2" t="s">
        <v>20</v>
      </c>
    </row>
    <row r="639" spans="1:14" ht="15" x14ac:dyDescent="0.25">
      <c r="A639" s="2" t="s">
        <v>680</v>
      </c>
      <c r="B639" s="2" t="s">
        <v>41</v>
      </c>
      <c r="C639" s="2" t="s">
        <v>37</v>
      </c>
      <c r="D639" s="2" t="s">
        <v>17</v>
      </c>
      <c r="E639" s="3">
        <v>45099</v>
      </c>
      <c r="F639" s="3">
        <v>45100</v>
      </c>
      <c r="G639" s="4">
        <v>361</v>
      </c>
      <c r="H639" s="4">
        <v>1</v>
      </c>
      <c r="I639" s="2" t="s">
        <v>42</v>
      </c>
      <c r="J639" s="2" t="s">
        <v>19</v>
      </c>
      <c r="K639" s="4">
        <v>3</v>
      </c>
      <c r="L639" s="4">
        <v>194.52</v>
      </c>
      <c r="M639" s="4">
        <v>583.55999999999995</v>
      </c>
      <c r="N639" s="2" t="s">
        <v>26</v>
      </c>
    </row>
    <row r="640" spans="1:14" ht="15" x14ac:dyDescent="0.25">
      <c r="A640" s="2" t="s">
        <v>681</v>
      </c>
      <c r="B640" s="2" t="s">
        <v>22</v>
      </c>
      <c r="C640" s="2" t="s">
        <v>37</v>
      </c>
      <c r="D640" s="2" t="s">
        <v>35</v>
      </c>
      <c r="E640" s="3">
        <v>45125</v>
      </c>
      <c r="F640" s="3">
        <v>45133</v>
      </c>
      <c r="G640" s="4">
        <v>829</v>
      </c>
      <c r="H640" s="4">
        <v>8</v>
      </c>
      <c r="I640" s="2" t="s">
        <v>51</v>
      </c>
      <c r="J640" s="2" t="s">
        <v>19</v>
      </c>
      <c r="K640" s="4">
        <v>1</v>
      </c>
      <c r="L640" s="4">
        <v>149.05000000000001</v>
      </c>
      <c r="M640" s="4">
        <v>149.05000000000001</v>
      </c>
      <c r="N640" s="2" t="s">
        <v>26</v>
      </c>
    </row>
    <row r="641" spans="1:14" ht="15" x14ac:dyDescent="0.25">
      <c r="A641" s="2" t="s">
        <v>682</v>
      </c>
      <c r="B641" s="2" t="s">
        <v>45</v>
      </c>
      <c r="C641" s="2" t="s">
        <v>76</v>
      </c>
      <c r="D641" s="2" t="s">
        <v>35</v>
      </c>
      <c r="E641" s="3">
        <v>44985</v>
      </c>
      <c r="F641" s="3">
        <v>44990</v>
      </c>
      <c r="G641" s="4">
        <v>382</v>
      </c>
      <c r="H641" s="4">
        <v>5</v>
      </c>
      <c r="I641" s="2" t="s">
        <v>63</v>
      </c>
      <c r="J641" s="2" t="s">
        <v>39</v>
      </c>
      <c r="K641" s="4">
        <v>1</v>
      </c>
      <c r="L641" s="4">
        <v>207.73</v>
      </c>
      <c r="M641" s="4">
        <v>207.73</v>
      </c>
      <c r="N641" s="2" t="s">
        <v>31</v>
      </c>
    </row>
    <row r="642" spans="1:14" ht="15" x14ac:dyDescent="0.25">
      <c r="A642" s="2" t="s">
        <v>683</v>
      </c>
      <c r="B642" s="2" t="s">
        <v>15</v>
      </c>
      <c r="C642" s="2" t="s">
        <v>29</v>
      </c>
      <c r="D642" s="2" t="s">
        <v>47</v>
      </c>
      <c r="E642" s="3">
        <v>45001</v>
      </c>
      <c r="F642" s="3">
        <v>45004</v>
      </c>
      <c r="G642" s="4">
        <v>747</v>
      </c>
      <c r="H642" s="4">
        <v>3</v>
      </c>
      <c r="I642" s="2" t="s">
        <v>63</v>
      </c>
      <c r="J642" s="2" t="s">
        <v>19</v>
      </c>
      <c r="K642" s="4">
        <v>1</v>
      </c>
      <c r="L642" s="4">
        <v>217.64</v>
      </c>
      <c r="M642" s="4">
        <v>217.64</v>
      </c>
      <c r="N642" s="2" t="s">
        <v>20</v>
      </c>
    </row>
    <row r="643" spans="1:14" ht="15" x14ac:dyDescent="0.25">
      <c r="A643" s="2" t="s">
        <v>684</v>
      </c>
      <c r="B643" s="2" t="s">
        <v>53</v>
      </c>
      <c r="C643" s="2" t="s">
        <v>29</v>
      </c>
      <c r="D643" s="2" t="s">
        <v>47</v>
      </c>
      <c r="E643" s="3">
        <v>44960</v>
      </c>
      <c r="F643" s="3">
        <v>44967</v>
      </c>
      <c r="G643" s="4">
        <v>566</v>
      </c>
      <c r="H643" s="4">
        <v>7</v>
      </c>
      <c r="I643" s="2" t="s">
        <v>42</v>
      </c>
      <c r="J643" s="2" t="s">
        <v>19</v>
      </c>
      <c r="K643" s="4">
        <v>4</v>
      </c>
      <c r="L643" s="4">
        <v>80.92</v>
      </c>
      <c r="M643" s="4">
        <v>323.68</v>
      </c>
      <c r="N643" s="2" t="s">
        <v>26</v>
      </c>
    </row>
    <row r="644" spans="1:14" ht="15" x14ac:dyDescent="0.25">
      <c r="A644" s="2" t="s">
        <v>685</v>
      </c>
      <c r="B644" s="2" t="s">
        <v>41</v>
      </c>
      <c r="C644" s="2" t="s">
        <v>61</v>
      </c>
      <c r="D644" s="2" t="s">
        <v>47</v>
      </c>
      <c r="E644" s="3">
        <v>44983</v>
      </c>
      <c r="F644" s="3">
        <v>44990</v>
      </c>
      <c r="G644" s="4">
        <v>479</v>
      </c>
      <c r="H644" s="4">
        <v>7</v>
      </c>
      <c r="I644" s="2" t="s">
        <v>63</v>
      </c>
      <c r="J644" s="2" t="s">
        <v>39</v>
      </c>
      <c r="K644" s="4">
        <v>4</v>
      </c>
      <c r="L644" s="4">
        <v>216.31</v>
      </c>
      <c r="M644" s="4">
        <v>865.24</v>
      </c>
      <c r="N644" s="2" t="s">
        <v>20</v>
      </c>
    </row>
    <row r="645" spans="1:14" ht="15" x14ac:dyDescent="0.25">
      <c r="A645" s="2" t="s">
        <v>686</v>
      </c>
      <c r="B645" s="2" t="s">
        <v>75</v>
      </c>
      <c r="C645" s="2" t="s">
        <v>16</v>
      </c>
      <c r="D645" s="2" t="s">
        <v>47</v>
      </c>
      <c r="E645" s="3">
        <v>45092</v>
      </c>
      <c r="F645" s="3">
        <v>45093</v>
      </c>
      <c r="G645" s="4">
        <v>461</v>
      </c>
      <c r="H645" s="4">
        <v>1</v>
      </c>
      <c r="I645" s="2" t="s">
        <v>42</v>
      </c>
      <c r="J645" s="2" t="s">
        <v>19</v>
      </c>
      <c r="K645" s="4">
        <v>3</v>
      </c>
      <c r="L645" s="4">
        <v>258.91000000000003</v>
      </c>
      <c r="M645" s="4">
        <v>776.73</v>
      </c>
      <c r="N645" s="2" t="s">
        <v>31</v>
      </c>
    </row>
    <row r="646" spans="1:14" ht="15" x14ac:dyDescent="0.25">
      <c r="A646" s="2" t="s">
        <v>687</v>
      </c>
      <c r="B646" s="2" t="s">
        <v>28</v>
      </c>
      <c r="C646" s="2" t="s">
        <v>29</v>
      </c>
      <c r="D646" s="2" t="s">
        <v>23</v>
      </c>
      <c r="E646" s="3">
        <v>45120</v>
      </c>
      <c r="F646" s="3">
        <v>45129</v>
      </c>
      <c r="G646" s="4">
        <v>548</v>
      </c>
      <c r="H646" s="4">
        <v>9</v>
      </c>
      <c r="I646" s="2" t="s">
        <v>30</v>
      </c>
      <c r="J646" s="2" t="s">
        <v>57</v>
      </c>
      <c r="K646" s="4">
        <v>1</v>
      </c>
      <c r="L646" s="4">
        <v>375.23</v>
      </c>
      <c r="M646" s="4">
        <v>375.23</v>
      </c>
      <c r="N646" s="2" t="s">
        <v>20</v>
      </c>
    </row>
    <row r="647" spans="1:14" ht="15" x14ac:dyDescent="0.25">
      <c r="A647" s="2" t="s">
        <v>688</v>
      </c>
      <c r="B647" s="2" t="s">
        <v>53</v>
      </c>
      <c r="C647" s="2" t="s">
        <v>29</v>
      </c>
      <c r="D647" s="2" t="s">
        <v>17</v>
      </c>
      <c r="E647" s="3">
        <v>44933</v>
      </c>
      <c r="F647" s="3">
        <v>44935</v>
      </c>
      <c r="G647" s="4">
        <v>540</v>
      </c>
      <c r="H647" s="4">
        <v>2</v>
      </c>
      <c r="I647" s="2" t="s">
        <v>24</v>
      </c>
      <c r="J647" s="2" t="s">
        <v>39</v>
      </c>
      <c r="K647" s="4">
        <v>4</v>
      </c>
      <c r="L647" s="4">
        <v>345.53</v>
      </c>
      <c r="M647" s="4">
        <v>1382.12</v>
      </c>
      <c r="N647" s="2" t="s">
        <v>20</v>
      </c>
    </row>
    <row r="648" spans="1:14" ht="15" x14ac:dyDescent="0.25">
      <c r="A648" s="2" t="s">
        <v>689</v>
      </c>
      <c r="B648" s="2" t="s">
        <v>28</v>
      </c>
      <c r="C648" s="2" t="s">
        <v>76</v>
      </c>
      <c r="D648" s="2" t="s">
        <v>17</v>
      </c>
      <c r="E648" s="3">
        <v>45217</v>
      </c>
      <c r="F648" s="3">
        <v>45222</v>
      </c>
      <c r="G648" s="4">
        <v>192</v>
      </c>
      <c r="H648" s="4">
        <v>5</v>
      </c>
      <c r="I648" s="2" t="s">
        <v>24</v>
      </c>
      <c r="J648" s="2" t="s">
        <v>57</v>
      </c>
      <c r="K648" s="4">
        <v>3</v>
      </c>
      <c r="L648" s="4">
        <v>368.94</v>
      </c>
      <c r="M648" s="4">
        <v>1106.82</v>
      </c>
      <c r="N648" s="2" t="s">
        <v>26</v>
      </c>
    </row>
    <row r="649" spans="1:14" ht="15" x14ac:dyDescent="0.25">
      <c r="A649" s="2" t="s">
        <v>690</v>
      </c>
      <c r="B649" s="2" t="s">
        <v>53</v>
      </c>
      <c r="C649" s="2" t="s">
        <v>34</v>
      </c>
      <c r="D649" s="2" t="s">
        <v>23</v>
      </c>
      <c r="E649" s="3">
        <v>45034</v>
      </c>
      <c r="F649" s="3">
        <v>45039</v>
      </c>
      <c r="G649" s="4">
        <v>720</v>
      </c>
      <c r="H649" s="4">
        <v>5</v>
      </c>
      <c r="I649" s="2" t="s">
        <v>63</v>
      </c>
      <c r="J649" s="2" t="s">
        <v>57</v>
      </c>
      <c r="K649" s="4">
        <v>1</v>
      </c>
      <c r="L649" s="4">
        <v>53.76</v>
      </c>
      <c r="M649" s="4">
        <v>53.76</v>
      </c>
      <c r="N649" s="2" t="s">
        <v>43</v>
      </c>
    </row>
    <row r="650" spans="1:14" ht="15" x14ac:dyDescent="0.25">
      <c r="A650" s="2" t="s">
        <v>691</v>
      </c>
      <c r="B650" s="2" t="s">
        <v>41</v>
      </c>
      <c r="C650" s="2" t="s">
        <v>16</v>
      </c>
      <c r="D650" s="2" t="s">
        <v>17</v>
      </c>
      <c r="E650" s="3">
        <v>45259</v>
      </c>
      <c r="F650" s="3">
        <v>45267</v>
      </c>
      <c r="G650" s="4">
        <v>852</v>
      </c>
      <c r="H650" s="4">
        <v>8</v>
      </c>
      <c r="I650" s="2" t="s">
        <v>18</v>
      </c>
      <c r="J650" s="2" t="s">
        <v>57</v>
      </c>
      <c r="K650" s="4">
        <v>2</v>
      </c>
      <c r="L650" s="4">
        <v>147.94999999999999</v>
      </c>
      <c r="M650" s="4">
        <v>295.89999999999998</v>
      </c>
      <c r="N650" s="2" t="s">
        <v>20</v>
      </c>
    </row>
    <row r="651" spans="1:14" ht="15" x14ac:dyDescent="0.25">
      <c r="A651" s="2" t="s">
        <v>692</v>
      </c>
      <c r="B651" s="2" t="s">
        <v>41</v>
      </c>
      <c r="C651" s="2" t="s">
        <v>29</v>
      </c>
      <c r="D651" s="2" t="s">
        <v>35</v>
      </c>
      <c r="E651" s="3">
        <v>45280</v>
      </c>
      <c r="F651" s="3">
        <v>45288</v>
      </c>
      <c r="G651" s="4">
        <v>966</v>
      </c>
      <c r="H651" s="4">
        <v>8</v>
      </c>
      <c r="I651" s="2" t="s">
        <v>18</v>
      </c>
      <c r="J651" s="2" t="s">
        <v>49</v>
      </c>
      <c r="K651" s="4">
        <v>1</v>
      </c>
      <c r="L651" s="4">
        <v>347.76</v>
      </c>
      <c r="M651" s="4">
        <v>347.76</v>
      </c>
      <c r="N651" s="2" t="s">
        <v>31</v>
      </c>
    </row>
    <row r="652" spans="1:14" ht="15" x14ac:dyDescent="0.25">
      <c r="A652" s="2" t="s">
        <v>693</v>
      </c>
      <c r="B652" s="2" t="s">
        <v>75</v>
      </c>
      <c r="C652" s="2" t="s">
        <v>34</v>
      </c>
      <c r="D652" s="2" t="s">
        <v>23</v>
      </c>
      <c r="E652" s="3">
        <v>44994</v>
      </c>
      <c r="F652" s="3">
        <v>45001</v>
      </c>
      <c r="G652" s="4">
        <v>523</v>
      </c>
      <c r="H652" s="4">
        <v>7</v>
      </c>
      <c r="I652" s="2" t="s">
        <v>18</v>
      </c>
      <c r="J652" s="2" t="s">
        <v>19</v>
      </c>
      <c r="K652" s="4">
        <v>1</v>
      </c>
      <c r="L652" s="4">
        <v>267.8</v>
      </c>
      <c r="M652" s="4">
        <v>267.8</v>
      </c>
      <c r="N652" s="2" t="s">
        <v>20</v>
      </c>
    </row>
    <row r="653" spans="1:14" ht="15" x14ac:dyDescent="0.25">
      <c r="A653" s="2" t="s">
        <v>694</v>
      </c>
      <c r="B653" s="2" t="s">
        <v>28</v>
      </c>
      <c r="C653" s="2" t="s">
        <v>34</v>
      </c>
      <c r="D653" s="2" t="s">
        <v>23</v>
      </c>
      <c r="E653" s="3">
        <v>45095</v>
      </c>
      <c r="F653" s="3">
        <v>45102</v>
      </c>
      <c r="G653" s="4">
        <v>241</v>
      </c>
      <c r="H653" s="4">
        <v>7</v>
      </c>
      <c r="I653" s="2" t="s">
        <v>63</v>
      </c>
      <c r="J653" s="2" t="s">
        <v>19</v>
      </c>
      <c r="K653" s="4">
        <v>4</v>
      </c>
      <c r="L653" s="4">
        <v>52.39</v>
      </c>
      <c r="M653" s="4">
        <v>209.56</v>
      </c>
      <c r="N653" s="2" t="s">
        <v>43</v>
      </c>
    </row>
    <row r="654" spans="1:14" ht="15" x14ac:dyDescent="0.25">
      <c r="A654" s="2" t="s">
        <v>695</v>
      </c>
      <c r="B654" s="2" t="s">
        <v>28</v>
      </c>
      <c r="C654" s="2" t="s">
        <v>16</v>
      </c>
      <c r="D654" s="2" t="s">
        <v>47</v>
      </c>
      <c r="E654" s="3">
        <v>44927</v>
      </c>
      <c r="F654" s="3">
        <v>44933</v>
      </c>
      <c r="G654" s="4">
        <v>390</v>
      </c>
      <c r="H654" s="4">
        <v>6</v>
      </c>
      <c r="I654" s="2" t="s">
        <v>30</v>
      </c>
      <c r="J654" s="2" t="s">
        <v>57</v>
      </c>
      <c r="K654" s="4">
        <v>3</v>
      </c>
      <c r="L654" s="4">
        <v>412.02</v>
      </c>
      <c r="M654" s="4">
        <v>1236.06</v>
      </c>
      <c r="N654" s="2" t="s">
        <v>43</v>
      </c>
    </row>
    <row r="655" spans="1:14" ht="15" x14ac:dyDescent="0.25">
      <c r="A655" s="2" t="s">
        <v>696</v>
      </c>
      <c r="B655" s="2" t="s">
        <v>53</v>
      </c>
      <c r="C655" s="2" t="s">
        <v>29</v>
      </c>
      <c r="D655" s="2" t="s">
        <v>35</v>
      </c>
      <c r="E655" s="3">
        <v>45145</v>
      </c>
      <c r="F655" s="3">
        <v>45151</v>
      </c>
      <c r="G655" s="4">
        <v>531</v>
      </c>
      <c r="H655" s="4">
        <v>6</v>
      </c>
      <c r="I655" s="2" t="s">
        <v>63</v>
      </c>
      <c r="J655" s="2" t="s">
        <v>39</v>
      </c>
      <c r="K655" s="4">
        <v>3</v>
      </c>
      <c r="L655" s="4">
        <v>397.76</v>
      </c>
      <c r="M655" s="4">
        <v>1193.28</v>
      </c>
      <c r="N655" s="2" t="s">
        <v>26</v>
      </c>
    </row>
    <row r="656" spans="1:14" ht="15" x14ac:dyDescent="0.25">
      <c r="A656" s="2" t="s">
        <v>697</v>
      </c>
      <c r="B656" s="2" t="s">
        <v>33</v>
      </c>
      <c r="C656" s="2" t="s">
        <v>29</v>
      </c>
      <c r="D656" s="2" t="s">
        <v>35</v>
      </c>
      <c r="E656" s="3">
        <v>45148</v>
      </c>
      <c r="F656" s="3">
        <v>45157</v>
      </c>
      <c r="G656" s="4">
        <v>848</v>
      </c>
      <c r="H656" s="4">
        <v>9</v>
      </c>
      <c r="I656" s="2" t="s">
        <v>30</v>
      </c>
      <c r="J656" s="2" t="s">
        <v>25</v>
      </c>
      <c r="K656" s="4">
        <v>4</v>
      </c>
      <c r="L656" s="4">
        <v>296.79000000000002</v>
      </c>
      <c r="M656" s="4">
        <v>1187.1600000000001</v>
      </c>
      <c r="N656" s="2" t="s">
        <v>31</v>
      </c>
    </row>
    <row r="657" spans="1:14" ht="15" x14ac:dyDescent="0.25">
      <c r="A657" s="2" t="s">
        <v>698</v>
      </c>
      <c r="B657" s="2" t="s">
        <v>33</v>
      </c>
      <c r="C657" s="2" t="s">
        <v>16</v>
      </c>
      <c r="D657" s="2" t="s">
        <v>17</v>
      </c>
      <c r="E657" s="3">
        <v>45017</v>
      </c>
      <c r="F657" s="3">
        <v>45023</v>
      </c>
      <c r="G657" s="4">
        <v>951</v>
      </c>
      <c r="H657" s="4">
        <v>6</v>
      </c>
      <c r="I657" s="2" t="s">
        <v>42</v>
      </c>
      <c r="J657" s="2" t="s">
        <v>19</v>
      </c>
      <c r="K657" s="4">
        <v>1</v>
      </c>
      <c r="L657" s="4">
        <v>79.91</v>
      </c>
      <c r="M657" s="4">
        <v>79.91</v>
      </c>
      <c r="N657" s="2" t="s">
        <v>20</v>
      </c>
    </row>
    <row r="658" spans="1:14" ht="15" x14ac:dyDescent="0.25">
      <c r="A658" s="2" t="s">
        <v>699</v>
      </c>
      <c r="B658" s="2" t="s">
        <v>33</v>
      </c>
      <c r="C658" s="2" t="s">
        <v>16</v>
      </c>
      <c r="D658" s="2" t="s">
        <v>47</v>
      </c>
      <c r="E658" s="3">
        <v>45130</v>
      </c>
      <c r="F658" s="3">
        <v>45132</v>
      </c>
      <c r="G658" s="4">
        <v>923</v>
      </c>
      <c r="H658" s="4">
        <v>2</v>
      </c>
      <c r="I658" s="2" t="s">
        <v>55</v>
      </c>
      <c r="J658" s="2" t="s">
        <v>39</v>
      </c>
      <c r="K658" s="4">
        <v>2</v>
      </c>
      <c r="L658" s="4">
        <v>394.93</v>
      </c>
      <c r="M658" s="4">
        <v>789.86</v>
      </c>
      <c r="N658" s="2" t="s">
        <v>31</v>
      </c>
    </row>
    <row r="659" spans="1:14" ht="15" x14ac:dyDescent="0.25">
      <c r="A659" s="2" t="s">
        <v>700</v>
      </c>
      <c r="B659" s="2" t="s">
        <v>15</v>
      </c>
      <c r="C659" s="2" t="s">
        <v>76</v>
      </c>
      <c r="D659" s="2" t="s">
        <v>23</v>
      </c>
      <c r="E659" s="3">
        <v>45009</v>
      </c>
      <c r="F659" s="3">
        <v>45011</v>
      </c>
      <c r="G659" s="4">
        <v>788</v>
      </c>
      <c r="H659" s="4">
        <v>2</v>
      </c>
      <c r="I659" s="2" t="s">
        <v>63</v>
      </c>
      <c r="J659" s="2" t="s">
        <v>49</v>
      </c>
      <c r="K659" s="4">
        <v>1</v>
      </c>
      <c r="L659" s="4">
        <v>312.67</v>
      </c>
      <c r="M659" s="4">
        <v>312.67</v>
      </c>
      <c r="N659" s="2" t="s">
        <v>31</v>
      </c>
    </row>
    <row r="660" spans="1:14" ht="15" x14ac:dyDescent="0.25">
      <c r="A660" s="2" t="s">
        <v>701</v>
      </c>
      <c r="B660" s="2" t="s">
        <v>75</v>
      </c>
      <c r="C660" s="2" t="s">
        <v>46</v>
      </c>
      <c r="D660" s="2" t="s">
        <v>35</v>
      </c>
      <c r="E660" s="3">
        <v>44985</v>
      </c>
      <c r="F660" s="3">
        <v>44990</v>
      </c>
      <c r="G660" s="4">
        <v>752</v>
      </c>
      <c r="H660" s="4">
        <v>5</v>
      </c>
      <c r="I660" s="2" t="s">
        <v>63</v>
      </c>
      <c r="J660" s="2" t="s">
        <v>39</v>
      </c>
      <c r="K660" s="4">
        <v>1</v>
      </c>
      <c r="L660" s="4">
        <v>401.88</v>
      </c>
      <c r="M660" s="4">
        <v>401.88</v>
      </c>
      <c r="N660" s="2" t="s">
        <v>43</v>
      </c>
    </row>
    <row r="661" spans="1:14" ht="15" x14ac:dyDescent="0.25">
      <c r="A661" s="2" t="s">
        <v>702</v>
      </c>
      <c r="B661" s="2" t="s">
        <v>75</v>
      </c>
      <c r="C661" s="2" t="s">
        <v>37</v>
      </c>
      <c r="D661" s="2" t="s">
        <v>47</v>
      </c>
      <c r="E661" s="3">
        <v>45164</v>
      </c>
      <c r="F661" s="3">
        <v>45168</v>
      </c>
      <c r="G661" s="4">
        <v>800</v>
      </c>
      <c r="H661" s="4">
        <v>4</v>
      </c>
      <c r="I661" s="2" t="s">
        <v>51</v>
      </c>
      <c r="J661" s="2" t="s">
        <v>19</v>
      </c>
      <c r="K661" s="4">
        <v>2</v>
      </c>
      <c r="L661" s="4">
        <v>388.29</v>
      </c>
      <c r="M661" s="4">
        <v>776.58</v>
      </c>
      <c r="N661" s="2" t="s">
        <v>20</v>
      </c>
    </row>
    <row r="662" spans="1:14" ht="15" x14ac:dyDescent="0.25">
      <c r="A662" s="2" t="s">
        <v>703</v>
      </c>
      <c r="B662" s="2" t="s">
        <v>22</v>
      </c>
      <c r="C662" s="2" t="s">
        <v>29</v>
      </c>
      <c r="D662" s="2" t="s">
        <v>54</v>
      </c>
      <c r="E662" s="3">
        <v>45045</v>
      </c>
      <c r="F662" s="3">
        <v>45047</v>
      </c>
      <c r="G662" s="4">
        <v>148</v>
      </c>
      <c r="H662" s="4">
        <v>2</v>
      </c>
      <c r="I662" s="2" t="s">
        <v>24</v>
      </c>
      <c r="J662" s="2" t="s">
        <v>25</v>
      </c>
      <c r="K662" s="4">
        <v>4</v>
      </c>
      <c r="L662" s="4">
        <v>411.35</v>
      </c>
      <c r="M662" s="4">
        <v>1645.4</v>
      </c>
      <c r="N662" s="2" t="s">
        <v>43</v>
      </c>
    </row>
    <row r="663" spans="1:14" ht="15" x14ac:dyDescent="0.25">
      <c r="A663" s="2" t="s">
        <v>704</v>
      </c>
      <c r="B663" s="2" t="s">
        <v>22</v>
      </c>
      <c r="C663" s="2" t="s">
        <v>76</v>
      </c>
      <c r="D663" s="2" t="s">
        <v>47</v>
      </c>
      <c r="E663" s="3">
        <v>45142</v>
      </c>
      <c r="F663" s="3">
        <v>45145</v>
      </c>
      <c r="G663" s="4">
        <v>401</v>
      </c>
      <c r="H663" s="4">
        <v>3</v>
      </c>
      <c r="I663" s="2" t="s">
        <v>24</v>
      </c>
      <c r="J663" s="2" t="s">
        <v>49</v>
      </c>
      <c r="K663" s="4">
        <v>3</v>
      </c>
      <c r="L663" s="4">
        <v>283.10000000000002</v>
      </c>
      <c r="M663" s="4">
        <v>849.3</v>
      </c>
      <c r="N663" s="2" t="s">
        <v>26</v>
      </c>
    </row>
    <row r="664" spans="1:14" ht="15" x14ac:dyDescent="0.25">
      <c r="A664" s="2" t="s">
        <v>705</v>
      </c>
      <c r="B664" s="2" t="s">
        <v>53</v>
      </c>
      <c r="C664" s="2" t="s">
        <v>76</v>
      </c>
      <c r="D664" s="2" t="s">
        <v>23</v>
      </c>
      <c r="E664" s="3">
        <v>45085</v>
      </c>
      <c r="F664" s="3">
        <v>45092</v>
      </c>
      <c r="G664" s="4">
        <v>980</v>
      </c>
      <c r="H664" s="4">
        <v>7</v>
      </c>
      <c r="I664" s="2" t="s">
        <v>18</v>
      </c>
      <c r="J664" s="2" t="s">
        <v>57</v>
      </c>
      <c r="K664" s="4">
        <v>4</v>
      </c>
      <c r="L664" s="4">
        <v>113.15</v>
      </c>
      <c r="M664" s="4">
        <v>452.6</v>
      </c>
      <c r="N664" s="2" t="s">
        <v>43</v>
      </c>
    </row>
    <row r="665" spans="1:14" ht="15" x14ac:dyDescent="0.25">
      <c r="A665" s="2" t="s">
        <v>706</v>
      </c>
      <c r="B665" s="2" t="s">
        <v>28</v>
      </c>
      <c r="C665" s="2" t="s">
        <v>16</v>
      </c>
      <c r="D665" s="2" t="s">
        <v>47</v>
      </c>
      <c r="E665" s="3">
        <v>45286</v>
      </c>
      <c r="F665" s="3">
        <v>45294</v>
      </c>
      <c r="G665" s="4">
        <v>289</v>
      </c>
      <c r="H665" s="4">
        <v>8</v>
      </c>
      <c r="I665" s="2" t="s">
        <v>51</v>
      </c>
      <c r="J665" s="2" t="s">
        <v>57</v>
      </c>
      <c r="K665" s="4">
        <v>4</v>
      </c>
      <c r="L665" s="4">
        <v>352.02</v>
      </c>
      <c r="M665" s="4">
        <v>1408.08</v>
      </c>
      <c r="N665" s="2" t="s">
        <v>20</v>
      </c>
    </row>
    <row r="666" spans="1:14" ht="15" x14ac:dyDescent="0.25">
      <c r="A666" s="2" t="s">
        <v>707</v>
      </c>
      <c r="B666" s="2" t="s">
        <v>22</v>
      </c>
      <c r="C666" s="2" t="s">
        <v>37</v>
      </c>
      <c r="D666" s="2" t="s">
        <v>23</v>
      </c>
      <c r="E666" s="3">
        <v>44981</v>
      </c>
      <c r="F666" s="3">
        <v>44987</v>
      </c>
      <c r="G666" s="4">
        <v>235</v>
      </c>
      <c r="H666" s="4">
        <v>6</v>
      </c>
      <c r="I666" s="2" t="s">
        <v>18</v>
      </c>
      <c r="J666" s="2" t="s">
        <v>39</v>
      </c>
      <c r="K666" s="4">
        <v>1</v>
      </c>
      <c r="L666" s="4">
        <v>329.21</v>
      </c>
      <c r="M666" s="4">
        <v>329.21</v>
      </c>
      <c r="N666" s="2" t="s">
        <v>31</v>
      </c>
    </row>
    <row r="667" spans="1:14" ht="15" x14ac:dyDescent="0.25">
      <c r="A667" s="2" t="s">
        <v>708</v>
      </c>
      <c r="B667" s="2" t="s">
        <v>53</v>
      </c>
      <c r="C667" s="2" t="s">
        <v>29</v>
      </c>
      <c r="D667" s="2" t="s">
        <v>17</v>
      </c>
      <c r="E667" s="3">
        <v>45096</v>
      </c>
      <c r="F667" s="3">
        <v>45101</v>
      </c>
      <c r="G667" s="4">
        <v>654</v>
      </c>
      <c r="H667" s="4">
        <v>5</v>
      </c>
      <c r="I667" s="2" t="s">
        <v>30</v>
      </c>
      <c r="J667" s="2" t="s">
        <v>57</v>
      </c>
      <c r="K667" s="4">
        <v>3</v>
      </c>
      <c r="L667" s="4">
        <v>384.01</v>
      </c>
      <c r="M667" s="4">
        <v>1152.03</v>
      </c>
      <c r="N667" s="2" t="s">
        <v>31</v>
      </c>
    </row>
    <row r="668" spans="1:14" ht="15" x14ac:dyDescent="0.25">
      <c r="A668" s="2" t="s">
        <v>709</v>
      </c>
      <c r="B668" s="2" t="s">
        <v>15</v>
      </c>
      <c r="C668" s="2" t="s">
        <v>16</v>
      </c>
      <c r="D668" s="2" t="s">
        <v>23</v>
      </c>
      <c r="E668" s="3">
        <v>45175</v>
      </c>
      <c r="F668" s="3">
        <v>45176</v>
      </c>
      <c r="G668" s="4">
        <v>503</v>
      </c>
      <c r="H668" s="4">
        <v>1</v>
      </c>
      <c r="I668" s="2" t="s">
        <v>18</v>
      </c>
      <c r="J668" s="2" t="s">
        <v>39</v>
      </c>
      <c r="K668" s="4">
        <v>3</v>
      </c>
      <c r="L668" s="4">
        <v>126.45</v>
      </c>
      <c r="M668" s="4">
        <v>379.35</v>
      </c>
      <c r="N668" s="2" t="s">
        <v>31</v>
      </c>
    </row>
    <row r="669" spans="1:14" ht="15" x14ac:dyDescent="0.25">
      <c r="A669" s="2" t="s">
        <v>710</v>
      </c>
      <c r="B669" s="2" t="s">
        <v>45</v>
      </c>
      <c r="C669" s="2" t="s">
        <v>61</v>
      </c>
      <c r="D669" s="2" t="s">
        <v>17</v>
      </c>
      <c r="E669" s="3">
        <v>45071</v>
      </c>
      <c r="F669" s="3">
        <v>45079</v>
      </c>
      <c r="G669" s="4">
        <v>991</v>
      </c>
      <c r="H669" s="4">
        <v>8</v>
      </c>
      <c r="I669" s="2" t="s">
        <v>42</v>
      </c>
      <c r="J669" s="2" t="s">
        <v>19</v>
      </c>
      <c r="K669" s="4">
        <v>4</v>
      </c>
      <c r="L669" s="4">
        <v>137.74</v>
      </c>
      <c r="M669" s="4">
        <v>550.96</v>
      </c>
      <c r="N669" s="2" t="s">
        <v>20</v>
      </c>
    </row>
    <row r="670" spans="1:14" ht="15" x14ac:dyDescent="0.25">
      <c r="A670" s="2" t="s">
        <v>711</v>
      </c>
      <c r="B670" s="2" t="s">
        <v>41</v>
      </c>
      <c r="C670" s="2" t="s">
        <v>61</v>
      </c>
      <c r="D670" s="2" t="s">
        <v>23</v>
      </c>
      <c r="E670" s="3">
        <v>45282</v>
      </c>
      <c r="F670" s="3">
        <v>45285</v>
      </c>
      <c r="G670" s="4">
        <v>964</v>
      </c>
      <c r="H670" s="4">
        <v>3</v>
      </c>
      <c r="I670" s="2" t="s">
        <v>24</v>
      </c>
      <c r="J670" s="2" t="s">
        <v>25</v>
      </c>
      <c r="K670" s="4">
        <v>2</v>
      </c>
      <c r="L670" s="4">
        <v>450.68</v>
      </c>
      <c r="M670" s="4">
        <v>901.36</v>
      </c>
      <c r="N670" s="2" t="s">
        <v>31</v>
      </c>
    </row>
    <row r="671" spans="1:14" ht="15" x14ac:dyDescent="0.25">
      <c r="A671" s="2" t="s">
        <v>712</v>
      </c>
      <c r="B671" s="2" t="s">
        <v>41</v>
      </c>
      <c r="C671" s="2" t="s">
        <v>29</v>
      </c>
      <c r="D671" s="2" t="s">
        <v>54</v>
      </c>
      <c r="E671" s="3">
        <v>45190</v>
      </c>
      <c r="F671" s="3">
        <v>45196</v>
      </c>
      <c r="G671" s="4">
        <v>701</v>
      </c>
      <c r="H671" s="4">
        <v>6</v>
      </c>
      <c r="I671" s="2" t="s">
        <v>51</v>
      </c>
      <c r="J671" s="2" t="s">
        <v>57</v>
      </c>
      <c r="K671" s="4">
        <v>4</v>
      </c>
      <c r="L671" s="4">
        <v>387.49</v>
      </c>
      <c r="M671" s="4">
        <v>1549.96</v>
      </c>
      <c r="N671" s="2" t="s">
        <v>31</v>
      </c>
    </row>
    <row r="672" spans="1:14" ht="15" x14ac:dyDescent="0.25">
      <c r="A672" s="2" t="s">
        <v>713</v>
      </c>
      <c r="B672" s="2" t="s">
        <v>41</v>
      </c>
      <c r="C672" s="2" t="s">
        <v>16</v>
      </c>
      <c r="D672" s="2" t="s">
        <v>54</v>
      </c>
      <c r="E672" s="3">
        <v>45166</v>
      </c>
      <c r="F672" s="3">
        <v>45169</v>
      </c>
      <c r="G672" s="4">
        <v>906</v>
      </c>
      <c r="H672" s="4">
        <v>3</v>
      </c>
      <c r="I672" s="2" t="s">
        <v>18</v>
      </c>
      <c r="J672" s="2" t="s">
        <v>25</v>
      </c>
      <c r="K672" s="4">
        <v>2</v>
      </c>
      <c r="L672" s="4">
        <v>458.7</v>
      </c>
      <c r="M672" s="4">
        <v>917.4</v>
      </c>
      <c r="N672" s="2" t="s">
        <v>31</v>
      </c>
    </row>
    <row r="673" spans="1:14" ht="15" x14ac:dyDescent="0.25">
      <c r="A673" s="2" t="s">
        <v>714</v>
      </c>
      <c r="B673" s="2" t="s">
        <v>22</v>
      </c>
      <c r="C673" s="2" t="s">
        <v>34</v>
      </c>
      <c r="D673" s="2" t="s">
        <v>54</v>
      </c>
      <c r="E673" s="3">
        <v>45203</v>
      </c>
      <c r="F673" s="3">
        <v>45210</v>
      </c>
      <c r="G673" s="4">
        <v>440</v>
      </c>
      <c r="H673" s="4">
        <v>7</v>
      </c>
      <c r="I673" s="2" t="s">
        <v>51</v>
      </c>
      <c r="J673" s="2" t="s">
        <v>19</v>
      </c>
      <c r="K673" s="4">
        <v>3</v>
      </c>
      <c r="L673" s="4">
        <v>391.42</v>
      </c>
      <c r="M673" s="4">
        <v>1174.26</v>
      </c>
      <c r="N673" s="2" t="s">
        <v>26</v>
      </c>
    </row>
    <row r="674" spans="1:14" ht="15" x14ac:dyDescent="0.25">
      <c r="A674" s="2" t="s">
        <v>715</v>
      </c>
      <c r="B674" s="2" t="s">
        <v>53</v>
      </c>
      <c r="C674" s="2" t="s">
        <v>16</v>
      </c>
      <c r="D674" s="2" t="s">
        <v>47</v>
      </c>
      <c r="E674" s="3">
        <v>45274</v>
      </c>
      <c r="F674" s="3">
        <v>45281</v>
      </c>
      <c r="G674" s="4">
        <v>856</v>
      </c>
      <c r="H674" s="4">
        <v>7</v>
      </c>
      <c r="I674" s="2" t="s">
        <v>18</v>
      </c>
      <c r="J674" s="2" t="s">
        <v>49</v>
      </c>
      <c r="K674" s="4">
        <v>4</v>
      </c>
      <c r="L674" s="4">
        <v>318.72000000000003</v>
      </c>
      <c r="M674" s="4">
        <v>1274.8800000000001</v>
      </c>
      <c r="N674" s="2" t="s">
        <v>43</v>
      </c>
    </row>
    <row r="675" spans="1:14" ht="15" x14ac:dyDescent="0.25">
      <c r="A675" s="2" t="s">
        <v>716</v>
      </c>
      <c r="B675" s="2" t="s">
        <v>41</v>
      </c>
      <c r="C675" s="2" t="s">
        <v>34</v>
      </c>
      <c r="D675" s="2" t="s">
        <v>17</v>
      </c>
      <c r="E675" s="3">
        <v>45258</v>
      </c>
      <c r="F675" s="3">
        <v>45267</v>
      </c>
      <c r="G675" s="4">
        <v>803</v>
      </c>
      <c r="H675" s="4">
        <v>9</v>
      </c>
      <c r="I675" s="2" t="s">
        <v>18</v>
      </c>
      <c r="J675" s="2" t="s">
        <v>25</v>
      </c>
      <c r="K675" s="4">
        <v>1</v>
      </c>
      <c r="L675" s="4">
        <v>344.36</v>
      </c>
      <c r="M675" s="4">
        <v>344.36</v>
      </c>
      <c r="N675" s="2" t="s">
        <v>26</v>
      </c>
    </row>
    <row r="676" spans="1:14" ht="15" x14ac:dyDescent="0.25">
      <c r="A676" s="2" t="s">
        <v>717</v>
      </c>
      <c r="B676" s="2" t="s">
        <v>15</v>
      </c>
      <c r="C676" s="2" t="s">
        <v>16</v>
      </c>
      <c r="D676" s="2" t="s">
        <v>23</v>
      </c>
      <c r="E676" s="3">
        <v>45191</v>
      </c>
      <c r="F676" s="3">
        <v>45196</v>
      </c>
      <c r="G676" s="4">
        <v>417</v>
      </c>
      <c r="H676" s="4">
        <v>5</v>
      </c>
      <c r="I676" s="2" t="s">
        <v>51</v>
      </c>
      <c r="J676" s="2" t="s">
        <v>19</v>
      </c>
      <c r="K676" s="4">
        <v>4</v>
      </c>
      <c r="L676" s="4">
        <v>450.11</v>
      </c>
      <c r="M676" s="4">
        <v>1800.44</v>
      </c>
      <c r="N676" s="2" t="s">
        <v>20</v>
      </c>
    </row>
    <row r="677" spans="1:14" ht="15" x14ac:dyDescent="0.25">
      <c r="A677" s="2" t="s">
        <v>718</v>
      </c>
      <c r="B677" s="2" t="s">
        <v>33</v>
      </c>
      <c r="C677" s="2" t="s">
        <v>34</v>
      </c>
      <c r="D677" s="2" t="s">
        <v>47</v>
      </c>
      <c r="E677" s="3">
        <v>45200</v>
      </c>
      <c r="F677" s="3">
        <v>45208</v>
      </c>
      <c r="G677" s="4">
        <v>717</v>
      </c>
      <c r="H677" s="4">
        <v>8</v>
      </c>
      <c r="I677" s="2" t="s">
        <v>24</v>
      </c>
      <c r="J677" s="2" t="s">
        <v>57</v>
      </c>
      <c r="K677" s="4">
        <v>3</v>
      </c>
      <c r="L677" s="4">
        <v>310.45999999999998</v>
      </c>
      <c r="M677" s="4">
        <v>931.38</v>
      </c>
      <c r="N677" s="2" t="s">
        <v>20</v>
      </c>
    </row>
    <row r="678" spans="1:14" ht="15" x14ac:dyDescent="0.25">
      <c r="A678" s="2" t="s">
        <v>719</v>
      </c>
      <c r="B678" s="2" t="s">
        <v>22</v>
      </c>
      <c r="C678" s="2" t="s">
        <v>34</v>
      </c>
      <c r="D678" s="2" t="s">
        <v>54</v>
      </c>
      <c r="E678" s="3">
        <v>44980</v>
      </c>
      <c r="F678" s="3">
        <v>44988</v>
      </c>
      <c r="G678" s="4">
        <v>462</v>
      </c>
      <c r="H678" s="4">
        <v>8</v>
      </c>
      <c r="I678" s="2" t="s">
        <v>42</v>
      </c>
      <c r="J678" s="2" t="s">
        <v>25</v>
      </c>
      <c r="K678" s="4">
        <v>1</v>
      </c>
      <c r="L678" s="4">
        <v>334.58</v>
      </c>
      <c r="M678" s="4">
        <v>334.58</v>
      </c>
      <c r="N678" s="2" t="s">
        <v>43</v>
      </c>
    </row>
    <row r="679" spans="1:14" ht="15" x14ac:dyDescent="0.25">
      <c r="A679" s="2" t="s">
        <v>720</v>
      </c>
      <c r="B679" s="2" t="s">
        <v>75</v>
      </c>
      <c r="C679" s="2" t="s">
        <v>61</v>
      </c>
      <c r="D679" s="2" t="s">
        <v>23</v>
      </c>
      <c r="E679" s="3">
        <v>44964</v>
      </c>
      <c r="F679" s="3">
        <v>44965</v>
      </c>
      <c r="G679" s="4">
        <v>921</v>
      </c>
      <c r="H679" s="4">
        <v>1</v>
      </c>
      <c r="I679" s="2" t="s">
        <v>51</v>
      </c>
      <c r="J679" s="2" t="s">
        <v>25</v>
      </c>
      <c r="K679" s="4">
        <v>1</v>
      </c>
      <c r="L679" s="4">
        <v>120.41</v>
      </c>
      <c r="M679" s="4">
        <v>120.41</v>
      </c>
      <c r="N679" s="2" t="s">
        <v>31</v>
      </c>
    </row>
    <row r="680" spans="1:14" ht="15" x14ac:dyDescent="0.25">
      <c r="A680" s="2" t="s">
        <v>721</v>
      </c>
      <c r="B680" s="2" t="s">
        <v>15</v>
      </c>
      <c r="C680" s="2" t="s">
        <v>46</v>
      </c>
      <c r="D680" s="2" t="s">
        <v>54</v>
      </c>
      <c r="E680" s="3">
        <v>45135</v>
      </c>
      <c r="F680" s="3">
        <v>45140</v>
      </c>
      <c r="G680" s="4">
        <v>481</v>
      </c>
      <c r="H680" s="4">
        <v>5</v>
      </c>
      <c r="I680" s="2" t="s">
        <v>51</v>
      </c>
      <c r="J680" s="2" t="s">
        <v>25</v>
      </c>
      <c r="K680" s="4">
        <v>2</v>
      </c>
      <c r="L680" s="4">
        <v>263.26</v>
      </c>
      <c r="M680" s="4">
        <v>526.52</v>
      </c>
      <c r="N680" s="2" t="s">
        <v>26</v>
      </c>
    </row>
    <row r="681" spans="1:14" ht="15" x14ac:dyDescent="0.25">
      <c r="A681" s="2" t="s">
        <v>722</v>
      </c>
      <c r="B681" s="2" t="s">
        <v>33</v>
      </c>
      <c r="C681" s="2" t="s">
        <v>76</v>
      </c>
      <c r="D681" s="2" t="s">
        <v>17</v>
      </c>
      <c r="E681" s="3">
        <v>44933</v>
      </c>
      <c r="F681" s="3">
        <v>44936</v>
      </c>
      <c r="G681" s="4">
        <v>332</v>
      </c>
      <c r="H681" s="4">
        <v>3</v>
      </c>
      <c r="I681" s="2" t="s">
        <v>55</v>
      </c>
      <c r="J681" s="2" t="s">
        <v>25</v>
      </c>
      <c r="K681" s="4">
        <v>1</v>
      </c>
      <c r="L681" s="4">
        <v>372.38</v>
      </c>
      <c r="M681" s="4">
        <v>372.38</v>
      </c>
      <c r="N681" s="2" t="s">
        <v>26</v>
      </c>
    </row>
    <row r="682" spans="1:14" ht="15" x14ac:dyDescent="0.25">
      <c r="A682" s="2" t="s">
        <v>723</v>
      </c>
      <c r="B682" s="2" t="s">
        <v>45</v>
      </c>
      <c r="C682" s="2" t="s">
        <v>29</v>
      </c>
      <c r="D682" s="2" t="s">
        <v>54</v>
      </c>
      <c r="E682" s="3">
        <v>45103</v>
      </c>
      <c r="F682" s="3">
        <v>45104</v>
      </c>
      <c r="G682" s="4">
        <v>876</v>
      </c>
      <c r="H682" s="4">
        <v>1</v>
      </c>
      <c r="I682" s="2" t="s">
        <v>55</v>
      </c>
      <c r="J682" s="2" t="s">
        <v>19</v>
      </c>
      <c r="K682" s="4">
        <v>1</v>
      </c>
      <c r="L682" s="4">
        <v>171.92</v>
      </c>
      <c r="M682" s="4">
        <v>171.92</v>
      </c>
      <c r="N682" s="2" t="s">
        <v>31</v>
      </c>
    </row>
    <row r="683" spans="1:14" ht="15" x14ac:dyDescent="0.25">
      <c r="A683" s="2" t="s">
        <v>724</v>
      </c>
      <c r="B683" s="2" t="s">
        <v>28</v>
      </c>
      <c r="C683" s="2" t="s">
        <v>46</v>
      </c>
      <c r="D683" s="2" t="s">
        <v>35</v>
      </c>
      <c r="E683" s="3">
        <v>45003</v>
      </c>
      <c r="F683" s="3">
        <v>45007</v>
      </c>
      <c r="G683" s="4">
        <v>443</v>
      </c>
      <c r="H683" s="4">
        <v>4</v>
      </c>
      <c r="I683" s="2" t="s">
        <v>51</v>
      </c>
      <c r="J683" s="2" t="s">
        <v>25</v>
      </c>
      <c r="K683" s="4">
        <v>4</v>
      </c>
      <c r="L683" s="4">
        <v>141.01</v>
      </c>
      <c r="M683" s="4">
        <v>564.04</v>
      </c>
      <c r="N683" s="2" t="s">
        <v>26</v>
      </c>
    </row>
    <row r="684" spans="1:14" ht="15" x14ac:dyDescent="0.25">
      <c r="A684" s="2" t="s">
        <v>725</v>
      </c>
      <c r="B684" s="2" t="s">
        <v>45</v>
      </c>
      <c r="C684" s="2" t="s">
        <v>16</v>
      </c>
      <c r="D684" s="2" t="s">
        <v>23</v>
      </c>
      <c r="E684" s="3">
        <v>45053</v>
      </c>
      <c r="F684" s="3">
        <v>45061</v>
      </c>
      <c r="G684" s="4">
        <v>648</v>
      </c>
      <c r="H684" s="4">
        <v>8</v>
      </c>
      <c r="I684" s="2" t="s">
        <v>24</v>
      </c>
      <c r="J684" s="2" t="s">
        <v>25</v>
      </c>
      <c r="K684" s="4">
        <v>3</v>
      </c>
      <c r="L684" s="4">
        <v>191.22</v>
      </c>
      <c r="M684" s="4">
        <v>573.66</v>
      </c>
      <c r="N684" s="2" t="s">
        <v>43</v>
      </c>
    </row>
    <row r="685" spans="1:14" ht="15" x14ac:dyDescent="0.25">
      <c r="A685" s="2" t="s">
        <v>726</v>
      </c>
      <c r="B685" s="2" t="s">
        <v>33</v>
      </c>
      <c r="C685" s="2" t="s">
        <v>61</v>
      </c>
      <c r="D685" s="2" t="s">
        <v>23</v>
      </c>
      <c r="E685" s="3">
        <v>45210</v>
      </c>
      <c r="F685" s="3">
        <v>45213</v>
      </c>
      <c r="G685" s="4">
        <v>916</v>
      </c>
      <c r="H685" s="4">
        <v>3</v>
      </c>
      <c r="I685" s="2" t="s">
        <v>30</v>
      </c>
      <c r="J685" s="2" t="s">
        <v>57</v>
      </c>
      <c r="K685" s="4">
        <v>2</v>
      </c>
      <c r="L685" s="4">
        <v>158.68</v>
      </c>
      <c r="M685" s="4">
        <v>317.36</v>
      </c>
      <c r="N685" s="2" t="s">
        <v>26</v>
      </c>
    </row>
    <row r="686" spans="1:14" ht="15" x14ac:dyDescent="0.25">
      <c r="A686" s="2" t="s">
        <v>727</v>
      </c>
      <c r="B686" s="2" t="s">
        <v>33</v>
      </c>
      <c r="C686" s="2" t="s">
        <v>76</v>
      </c>
      <c r="D686" s="2" t="s">
        <v>35</v>
      </c>
      <c r="E686" s="3">
        <v>45270</v>
      </c>
      <c r="F686" s="3">
        <v>45272</v>
      </c>
      <c r="G686" s="4">
        <v>652</v>
      </c>
      <c r="H686" s="4">
        <v>2</v>
      </c>
      <c r="I686" s="2" t="s">
        <v>55</v>
      </c>
      <c r="J686" s="2" t="s">
        <v>25</v>
      </c>
      <c r="K686" s="4">
        <v>4</v>
      </c>
      <c r="L686" s="4">
        <v>146.71</v>
      </c>
      <c r="M686" s="4">
        <v>586.84</v>
      </c>
      <c r="N686" s="2" t="s">
        <v>31</v>
      </c>
    </row>
    <row r="687" spans="1:14" ht="15" x14ac:dyDescent="0.25">
      <c r="A687" s="2" t="s">
        <v>728</v>
      </c>
      <c r="B687" s="2" t="s">
        <v>33</v>
      </c>
      <c r="C687" s="2" t="s">
        <v>34</v>
      </c>
      <c r="D687" s="2" t="s">
        <v>17</v>
      </c>
      <c r="E687" s="3">
        <v>44953</v>
      </c>
      <c r="F687" s="3">
        <v>44962</v>
      </c>
      <c r="G687" s="4">
        <v>628</v>
      </c>
      <c r="H687" s="4">
        <v>9</v>
      </c>
      <c r="I687" s="2" t="s">
        <v>63</v>
      </c>
      <c r="J687" s="2" t="s">
        <v>39</v>
      </c>
      <c r="K687" s="4">
        <v>1</v>
      </c>
      <c r="L687" s="4">
        <v>241.18</v>
      </c>
      <c r="M687" s="4">
        <v>241.18</v>
      </c>
      <c r="N687" s="2" t="s">
        <v>20</v>
      </c>
    </row>
    <row r="688" spans="1:14" ht="15" x14ac:dyDescent="0.25">
      <c r="A688" s="2" t="s">
        <v>729</v>
      </c>
      <c r="B688" s="2" t="s">
        <v>22</v>
      </c>
      <c r="C688" s="2" t="s">
        <v>46</v>
      </c>
      <c r="D688" s="2" t="s">
        <v>17</v>
      </c>
      <c r="E688" s="3">
        <v>45121</v>
      </c>
      <c r="F688" s="3">
        <v>45126</v>
      </c>
      <c r="G688" s="4">
        <v>955</v>
      </c>
      <c r="H688" s="4">
        <v>5</v>
      </c>
      <c r="I688" s="2" t="s">
        <v>51</v>
      </c>
      <c r="J688" s="2" t="s">
        <v>49</v>
      </c>
      <c r="K688" s="4">
        <v>1</v>
      </c>
      <c r="L688" s="4">
        <v>458.53</v>
      </c>
      <c r="M688" s="4">
        <v>458.53</v>
      </c>
      <c r="N688" s="2" t="s">
        <v>31</v>
      </c>
    </row>
    <row r="689" spans="1:14" ht="15" x14ac:dyDescent="0.25">
      <c r="A689" s="2" t="s">
        <v>730</v>
      </c>
      <c r="B689" s="2" t="s">
        <v>15</v>
      </c>
      <c r="C689" s="2" t="s">
        <v>61</v>
      </c>
      <c r="D689" s="2" t="s">
        <v>35</v>
      </c>
      <c r="E689" s="3">
        <v>45249</v>
      </c>
      <c r="F689" s="3">
        <v>45256</v>
      </c>
      <c r="G689" s="4">
        <v>888</v>
      </c>
      <c r="H689" s="4">
        <v>7</v>
      </c>
      <c r="I689" s="2" t="s">
        <v>63</v>
      </c>
      <c r="J689" s="2" t="s">
        <v>25</v>
      </c>
      <c r="K689" s="4">
        <v>2</v>
      </c>
      <c r="L689" s="4">
        <v>278.18</v>
      </c>
      <c r="M689" s="4">
        <v>556.36</v>
      </c>
      <c r="N689" s="2" t="s">
        <v>20</v>
      </c>
    </row>
    <row r="690" spans="1:14" ht="15" x14ac:dyDescent="0.25">
      <c r="A690" s="2" t="s">
        <v>731</v>
      </c>
      <c r="B690" s="2" t="s">
        <v>45</v>
      </c>
      <c r="C690" s="2" t="s">
        <v>29</v>
      </c>
      <c r="D690" s="2" t="s">
        <v>54</v>
      </c>
      <c r="E690" s="3">
        <v>44957</v>
      </c>
      <c r="F690" s="3">
        <v>44959</v>
      </c>
      <c r="G690" s="4">
        <v>918</v>
      </c>
      <c r="H690" s="4">
        <v>2</v>
      </c>
      <c r="I690" s="2" t="s">
        <v>18</v>
      </c>
      <c r="J690" s="2" t="s">
        <v>57</v>
      </c>
      <c r="K690" s="4">
        <v>3</v>
      </c>
      <c r="L690" s="4">
        <v>134.56</v>
      </c>
      <c r="M690" s="4">
        <v>403.68</v>
      </c>
      <c r="N690" s="2" t="s">
        <v>43</v>
      </c>
    </row>
    <row r="691" spans="1:14" ht="15" x14ac:dyDescent="0.25">
      <c r="A691" s="2" t="s">
        <v>732</v>
      </c>
      <c r="B691" s="2" t="s">
        <v>53</v>
      </c>
      <c r="C691" s="2" t="s">
        <v>29</v>
      </c>
      <c r="D691" s="2" t="s">
        <v>35</v>
      </c>
      <c r="E691" s="3">
        <v>45227</v>
      </c>
      <c r="F691" s="3">
        <v>45236</v>
      </c>
      <c r="G691" s="4">
        <v>670</v>
      </c>
      <c r="H691" s="4">
        <v>9</v>
      </c>
      <c r="I691" s="2" t="s">
        <v>24</v>
      </c>
      <c r="J691" s="2" t="s">
        <v>49</v>
      </c>
      <c r="K691" s="4">
        <v>2</v>
      </c>
      <c r="L691" s="4">
        <v>84.64</v>
      </c>
      <c r="M691" s="4">
        <v>169.28</v>
      </c>
      <c r="N691" s="2" t="s">
        <v>31</v>
      </c>
    </row>
    <row r="692" spans="1:14" ht="15" x14ac:dyDescent="0.25">
      <c r="A692" s="2" t="s">
        <v>733</v>
      </c>
      <c r="B692" s="2" t="s">
        <v>33</v>
      </c>
      <c r="C692" s="2" t="s">
        <v>29</v>
      </c>
      <c r="D692" s="2" t="s">
        <v>17</v>
      </c>
      <c r="E692" s="3">
        <v>45057</v>
      </c>
      <c r="F692" s="3">
        <v>45066</v>
      </c>
      <c r="G692" s="4">
        <v>282</v>
      </c>
      <c r="H692" s="4">
        <v>9</v>
      </c>
      <c r="I692" s="2" t="s">
        <v>30</v>
      </c>
      <c r="J692" s="2" t="s">
        <v>25</v>
      </c>
      <c r="K692" s="4">
        <v>4</v>
      </c>
      <c r="L692" s="4">
        <v>363.27</v>
      </c>
      <c r="M692" s="4">
        <v>1453.08</v>
      </c>
      <c r="N692" s="2" t="s">
        <v>43</v>
      </c>
    </row>
    <row r="693" spans="1:14" ht="15" x14ac:dyDescent="0.25">
      <c r="A693" s="2" t="s">
        <v>734</v>
      </c>
      <c r="B693" s="2" t="s">
        <v>28</v>
      </c>
      <c r="C693" s="2" t="s">
        <v>37</v>
      </c>
      <c r="D693" s="2" t="s">
        <v>54</v>
      </c>
      <c r="E693" s="3">
        <v>45044</v>
      </c>
      <c r="F693" s="3">
        <v>45048</v>
      </c>
      <c r="G693" s="4">
        <v>140</v>
      </c>
      <c r="H693" s="4">
        <v>4</v>
      </c>
      <c r="I693" s="2" t="s">
        <v>55</v>
      </c>
      <c r="J693" s="2" t="s">
        <v>39</v>
      </c>
      <c r="K693" s="4">
        <v>2</v>
      </c>
      <c r="L693" s="4">
        <v>222.26</v>
      </c>
      <c r="M693" s="4">
        <v>444.52</v>
      </c>
      <c r="N693" s="2" t="s">
        <v>20</v>
      </c>
    </row>
    <row r="694" spans="1:14" ht="15" x14ac:dyDescent="0.25">
      <c r="A694" s="2" t="s">
        <v>735</v>
      </c>
      <c r="B694" s="2" t="s">
        <v>53</v>
      </c>
      <c r="C694" s="2" t="s">
        <v>46</v>
      </c>
      <c r="D694" s="2" t="s">
        <v>23</v>
      </c>
      <c r="E694" s="3">
        <v>45283</v>
      </c>
      <c r="F694" s="3">
        <v>45287</v>
      </c>
      <c r="G694" s="4">
        <v>650</v>
      </c>
      <c r="H694" s="4">
        <v>4</v>
      </c>
      <c r="I694" s="2" t="s">
        <v>51</v>
      </c>
      <c r="J694" s="2" t="s">
        <v>19</v>
      </c>
      <c r="K694" s="4">
        <v>1</v>
      </c>
      <c r="L694" s="4">
        <v>419.82</v>
      </c>
      <c r="M694" s="4">
        <v>419.82</v>
      </c>
      <c r="N694" s="2" t="s">
        <v>26</v>
      </c>
    </row>
    <row r="695" spans="1:14" ht="15" x14ac:dyDescent="0.25">
      <c r="A695" s="2" t="s">
        <v>736</v>
      </c>
      <c r="B695" s="2" t="s">
        <v>75</v>
      </c>
      <c r="C695" s="2" t="s">
        <v>34</v>
      </c>
      <c r="D695" s="2" t="s">
        <v>35</v>
      </c>
      <c r="E695" s="3">
        <v>45000</v>
      </c>
      <c r="F695" s="3">
        <v>45006</v>
      </c>
      <c r="G695" s="4">
        <v>496</v>
      </c>
      <c r="H695" s="4">
        <v>6</v>
      </c>
      <c r="I695" s="2" t="s">
        <v>55</v>
      </c>
      <c r="J695" s="2" t="s">
        <v>49</v>
      </c>
      <c r="K695" s="4">
        <v>4</v>
      </c>
      <c r="L695" s="4">
        <v>346.78</v>
      </c>
      <c r="M695" s="4">
        <v>1387.12</v>
      </c>
      <c r="N695" s="2" t="s">
        <v>31</v>
      </c>
    </row>
    <row r="696" spans="1:14" ht="15" x14ac:dyDescent="0.25">
      <c r="A696" s="2" t="s">
        <v>737</v>
      </c>
      <c r="B696" s="2" t="s">
        <v>28</v>
      </c>
      <c r="C696" s="2" t="s">
        <v>61</v>
      </c>
      <c r="D696" s="2" t="s">
        <v>17</v>
      </c>
      <c r="E696" s="3">
        <v>45180</v>
      </c>
      <c r="F696" s="3">
        <v>45186</v>
      </c>
      <c r="G696" s="4">
        <v>803</v>
      </c>
      <c r="H696" s="4">
        <v>6</v>
      </c>
      <c r="I696" s="2" t="s">
        <v>63</v>
      </c>
      <c r="J696" s="2" t="s">
        <v>25</v>
      </c>
      <c r="K696" s="4">
        <v>1</v>
      </c>
      <c r="L696" s="4">
        <v>408.31</v>
      </c>
      <c r="M696" s="4">
        <v>408.31</v>
      </c>
      <c r="N696" s="2" t="s">
        <v>20</v>
      </c>
    </row>
    <row r="697" spans="1:14" ht="15" x14ac:dyDescent="0.25">
      <c r="A697" s="2" t="s">
        <v>738</v>
      </c>
      <c r="B697" s="2" t="s">
        <v>45</v>
      </c>
      <c r="C697" s="2" t="s">
        <v>16</v>
      </c>
      <c r="D697" s="2" t="s">
        <v>47</v>
      </c>
      <c r="E697" s="3">
        <v>45226</v>
      </c>
      <c r="F697" s="3">
        <v>45227</v>
      </c>
      <c r="G697" s="4">
        <v>878</v>
      </c>
      <c r="H697" s="4">
        <v>1</v>
      </c>
      <c r="I697" s="2" t="s">
        <v>30</v>
      </c>
      <c r="J697" s="2" t="s">
        <v>19</v>
      </c>
      <c r="K697" s="4">
        <v>3</v>
      </c>
      <c r="L697" s="4">
        <v>172.38</v>
      </c>
      <c r="M697" s="4">
        <v>517.14</v>
      </c>
      <c r="N697" s="2" t="s">
        <v>20</v>
      </c>
    </row>
    <row r="698" spans="1:14" ht="15" x14ac:dyDescent="0.25">
      <c r="A698" s="2" t="s">
        <v>739</v>
      </c>
      <c r="B698" s="2" t="s">
        <v>28</v>
      </c>
      <c r="C698" s="2" t="s">
        <v>34</v>
      </c>
      <c r="D698" s="2" t="s">
        <v>17</v>
      </c>
      <c r="E698" s="3">
        <v>44942</v>
      </c>
      <c r="F698" s="3">
        <v>44951</v>
      </c>
      <c r="G698" s="4">
        <v>593</v>
      </c>
      <c r="H698" s="4">
        <v>9</v>
      </c>
      <c r="I698" s="2" t="s">
        <v>51</v>
      </c>
      <c r="J698" s="2" t="s">
        <v>57</v>
      </c>
      <c r="K698" s="4">
        <v>1</v>
      </c>
      <c r="L698" s="4">
        <v>361.56</v>
      </c>
      <c r="M698" s="4">
        <v>361.56</v>
      </c>
      <c r="N698" s="2" t="s">
        <v>26</v>
      </c>
    </row>
    <row r="699" spans="1:14" ht="15" x14ac:dyDescent="0.25">
      <c r="A699" s="2" t="s">
        <v>740</v>
      </c>
      <c r="B699" s="2" t="s">
        <v>33</v>
      </c>
      <c r="C699" s="2" t="s">
        <v>29</v>
      </c>
      <c r="D699" s="2" t="s">
        <v>54</v>
      </c>
      <c r="E699" s="3">
        <v>45171</v>
      </c>
      <c r="F699" s="3">
        <v>45173</v>
      </c>
      <c r="G699" s="4">
        <v>758</v>
      </c>
      <c r="H699" s="4">
        <v>2</v>
      </c>
      <c r="I699" s="2" t="s">
        <v>24</v>
      </c>
      <c r="J699" s="2" t="s">
        <v>25</v>
      </c>
      <c r="K699" s="4">
        <v>1</v>
      </c>
      <c r="L699" s="4">
        <v>168.83</v>
      </c>
      <c r="M699" s="4">
        <v>168.83</v>
      </c>
      <c r="N699" s="2" t="s">
        <v>31</v>
      </c>
    </row>
    <row r="700" spans="1:14" ht="15" x14ac:dyDescent="0.25">
      <c r="A700" s="2" t="s">
        <v>741</v>
      </c>
      <c r="B700" s="2" t="s">
        <v>53</v>
      </c>
      <c r="C700" s="2" t="s">
        <v>16</v>
      </c>
      <c r="D700" s="2" t="s">
        <v>54</v>
      </c>
      <c r="E700" s="3">
        <v>45274</v>
      </c>
      <c r="F700" s="3">
        <v>45279</v>
      </c>
      <c r="G700" s="4">
        <v>432</v>
      </c>
      <c r="H700" s="4">
        <v>5</v>
      </c>
      <c r="I700" s="2" t="s">
        <v>55</v>
      </c>
      <c r="J700" s="2" t="s">
        <v>25</v>
      </c>
      <c r="K700" s="4">
        <v>2</v>
      </c>
      <c r="L700" s="4">
        <v>472.58</v>
      </c>
      <c r="M700" s="4">
        <v>945.16</v>
      </c>
      <c r="N700" s="2" t="s">
        <v>26</v>
      </c>
    </row>
    <row r="701" spans="1:14" ht="15" x14ac:dyDescent="0.25">
      <c r="A701" s="2" t="s">
        <v>742</v>
      </c>
      <c r="B701" s="2" t="s">
        <v>53</v>
      </c>
      <c r="C701" s="2" t="s">
        <v>16</v>
      </c>
      <c r="D701" s="2" t="s">
        <v>35</v>
      </c>
      <c r="E701" s="3">
        <v>44972</v>
      </c>
      <c r="F701" s="3">
        <v>44981</v>
      </c>
      <c r="G701" s="4">
        <v>226</v>
      </c>
      <c r="H701" s="4">
        <v>9</v>
      </c>
      <c r="I701" s="2" t="s">
        <v>42</v>
      </c>
      <c r="J701" s="2" t="s">
        <v>25</v>
      </c>
      <c r="K701" s="4">
        <v>1</v>
      </c>
      <c r="L701" s="4">
        <v>336.37</v>
      </c>
      <c r="M701" s="4">
        <v>336.37</v>
      </c>
      <c r="N701" s="2"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6A61-B463-4091-962E-02A6328BECA4}">
  <dimension ref="A3:K46"/>
  <sheetViews>
    <sheetView showGridLines="0" zoomScale="90" zoomScaleNormal="90" workbookViewId="0">
      <selection activeCell="L4" sqref="L4"/>
    </sheetView>
  </sheetViews>
  <sheetFormatPr defaultRowHeight="12.75" x14ac:dyDescent="0.2"/>
  <cols>
    <col min="1" max="1" width="9.140625" style="35"/>
    <col min="2" max="2" width="4.42578125" style="35" customWidth="1"/>
    <col min="3" max="3" width="13" bestFit="1" customWidth="1"/>
    <col min="4" max="4" width="44.140625" bestFit="1" customWidth="1"/>
    <col min="5" max="5" width="19.85546875" bestFit="1" customWidth="1"/>
    <col min="7" max="7" width="4.28515625" customWidth="1"/>
    <col min="9" max="9" width="13.7109375" customWidth="1"/>
    <col min="10" max="10" width="19.85546875" bestFit="1" customWidth="1"/>
  </cols>
  <sheetData>
    <row r="3" spans="3:11" ht="15.75" thickBot="1" x14ac:dyDescent="0.3">
      <c r="D3" s="10" t="s">
        <v>743</v>
      </c>
      <c r="E3" s="10" t="s">
        <v>801</v>
      </c>
      <c r="J3" s="11"/>
    </row>
    <row r="4" spans="3:11" ht="51" x14ac:dyDescent="0.2">
      <c r="C4" s="30" t="s">
        <v>752</v>
      </c>
      <c r="D4" s="36" t="s">
        <v>744</v>
      </c>
      <c r="E4" s="14" t="s">
        <v>751</v>
      </c>
      <c r="H4" s="30" t="s">
        <v>788</v>
      </c>
      <c r="I4" s="37" t="s">
        <v>802</v>
      </c>
      <c r="J4" s="14" t="s">
        <v>803</v>
      </c>
    </row>
    <row r="5" spans="3:11" x14ac:dyDescent="0.2">
      <c r="C5" s="31"/>
      <c r="D5" s="36" t="s">
        <v>745</v>
      </c>
      <c r="E5" s="15" t="s">
        <v>746</v>
      </c>
      <c r="H5" s="31"/>
      <c r="I5" s="5"/>
      <c r="J5" s="15" t="s">
        <v>804</v>
      </c>
    </row>
    <row r="6" spans="3:11" x14ac:dyDescent="0.2">
      <c r="C6" s="31"/>
      <c r="D6" s="36" t="s">
        <v>747</v>
      </c>
      <c r="E6" s="15" t="s">
        <v>748</v>
      </c>
      <c r="H6" s="31"/>
      <c r="J6" s="15"/>
      <c r="K6" s="5" t="s">
        <v>789</v>
      </c>
    </row>
    <row r="7" spans="3:11" ht="13.5" thickBot="1" x14ac:dyDescent="0.25">
      <c r="C7" s="32"/>
      <c r="D7" s="36" t="s">
        <v>749</v>
      </c>
      <c r="E7" s="17" t="s">
        <v>750</v>
      </c>
      <c r="H7" s="31"/>
      <c r="J7" s="15"/>
      <c r="K7" s="5" t="s">
        <v>790</v>
      </c>
    </row>
    <row r="8" spans="3:11" ht="13.5" thickBot="1" x14ac:dyDescent="0.25">
      <c r="E8" s="11"/>
      <c r="H8" s="31"/>
      <c r="J8" s="15"/>
      <c r="K8" s="5" t="s">
        <v>791</v>
      </c>
    </row>
    <row r="9" spans="3:11" ht="12.75" customHeight="1" x14ac:dyDescent="0.2">
      <c r="C9" s="30" t="s">
        <v>772</v>
      </c>
      <c r="D9" s="36" t="s">
        <v>773</v>
      </c>
      <c r="E9" s="14"/>
      <c r="H9" s="31"/>
      <c r="J9" s="15"/>
    </row>
    <row r="10" spans="3:11" ht="12.75" customHeight="1" x14ac:dyDescent="0.2">
      <c r="C10" s="31"/>
      <c r="D10" s="36" t="s">
        <v>774</v>
      </c>
      <c r="E10" s="15"/>
      <c r="H10" s="31"/>
      <c r="J10" s="15" t="s">
        <v>805</v>
      </c>
    </row>
    <row r="11" spans="3:11" ht="12.75" customHeight="1" x14ac:dyDescent="0.2">
      <c r="C11" s="31"/>
      <c r="D11" s="36" t="s">
        <v>775</v>
      </c>
      <c r="E11" s="15"/>
      <c r="H11" s="31"/>
      <c r="J11" s="15"/>
      <c r="K11" s="5" t="s">
        <v>792</v>
      </c>
    </row>
    <row r="12" spans="3:11" ht="12.75" customHeight="1" x14ac:dyDescent="0.2">
      <c r="C12" s="31"/>
      <c r="D12" s="36" t="s">
        <v>776</v>
      </c>
      <c r="E12" s="15"/>
      <c r="H12" s="31"/>
      <c r="J12" s="15"/>
      <c r="K12" s="5" t="s">
        <v>793</v>
      </c>
    </row>
    <row r="13" spans="3:11" ht="13.5" thickBot="1" x14ac:dyDescent="0.25">
      <c r="C13" s="32"/>
      <c r="D13" s="36" t="s">
        <v>777</v>
      </c>
      <c r="E13" s="17" t="s">
        <v>778</v>
      </c>
      <c r="F13">
        <f>AVERAGE('Cleaned Data'!N:N)</f>
        <v>675.36245714285667</v>
      </c>
      <c r="H13" s="31"/>
      <c r="J13" s="15"/>
      <c r="K13" s="5" t="s">
        <v>794</v>
      </c>
    </row>
    <row r="14" spans="3:11" ht="25.5" x14ac:dyDescent="0.2">
      <c r="E14" s="12" t="s">
        <v>779</v>
      </c>
      <c r="F14" s="5" t="s">
        <v>780</v>
      </c>
      <c r="H14" s="31"/>
      <c r="J14" s="15"/>
    </row>
    <row r="15" spans="3:11" ht="13.5" thickBot="1" x14ac:dyDescent="0.25">
      <c r="E15" s="11"/>
      <c r="H15" s="31"/>
      <c r="J15" s="15" t="s">
        <v>806</v>
      </c>
    </row>
    <row r="16" spans="3:11" x14ac:dyDescent="0.2">
      <c r="C16" s="30" t="s">
        <v>782</v>
      </c>
      <c r="D16" s="36" t="s">
        <v>783</v>
      </c>
      <c r="E16" s="14"/>
      <c r="H16" s="31"/>
      <c r="J16" s="15"/>
      <c r="K16" s="5" t="s">
        <v>795</v>
      </c>
    </row>
    <row r="17" spans="3:11" x14ac:dyDescent="0.2">
      <c r="C17" s="31"/>
      <c r="D17" s="36" t="s">
        <v>784</v>
      </c>
      <c r="E17" s="15"/>
      <c r="H17" s="31"/>
      <c r="J17" s="15"/>
      <c r="K17" s="5" t="s">
        <v>796</v>
      </c>
    </row>
    <row r="18" spans="3:11" x14ac:dyDescent="0.2">
      <c r="C18" s="31"/>
      <c r="D18" s="36" t="s">
        <v>822</v>
      </c>
      <c r="E18" s="15"/>
      <c r="H18" s="31"/>
      <c r="J18" s="15"/>
      <c r="K18" s="5" t="s">
        <v>797</v>
      </c>
    </row>
    <row r="19" spans="3:11" x14ac:dyDescent="0.2">
      <c r="C19" s="31"/>
      <c r="D19" s="36" t="s">
        <v>785</v>
      </c>
      <c r="E19" s="15"/>
      <c r="H19" s="31"/>
      <c r="J19" s="15"/>
    </row>
    <row r="20" spans="3:11" x14ac:dyDescent="0.2">
      <c r="C20" s="31"/>
      <c r="D20" s="36" t="s">
        <v>786</v>
      </c>
      <c r="E20" s="15"/>
      <c r="H20" s="31"/>
      <c r="J20" s="15" t="s">
        <v>807</v>
      </c>
    </row>
    <row r="21" spans="3:11" ht="13.5" thickBot="1" x14ac:dyDescent="0.25">
      <c r="C21" s="32"/>
      <c r="D21" s="36" t="s">
        <v>787</v>
      </c>
      <c r="E21" s="17"/>
      <c r="H21" s="31"/>
      <c r="J21" s="15"/>
      <c r="K21" s="5" t="s">
        <v>798</v>
      </c>
    </row>
    <row r="22" spans="3:11" ht="13.5" thickBot="1" x14ac:dyDescent="0.25">
      <c r="D22" s="5"/>
      <c r="E22" s="11"/>
      <c r="H22" s="31"/>
      <c r="J22" s="15"/>
      <c r="K22" s="5" t="s">
        <v>799</v>
      </c>
    </row>
    <row r="23" spans="3:11" ht="12.75" customHeight="1" thickBot="1" x14ac:dyDescent="0.25">
      <c r="C23" s="30" t="s">
        <v>808</v>
      </c>
      <c r="D23" s="13"/>
      <c r="E23" s="14" t="s">
        <v>803</v>
      </c>
      <c r="H23" s="32"/>
      <c r="I23" s="18"/>
      <c r="J23" s="17"/>
      <c r="K23" s="5" t="s">
        <v>800</v>
      </c>
    </row>
    <row r="24" spans="3:11" ht="12.75" customHeight="1" x14ac:dyDescent="0.2">
      <c r="C24" s="31"/>
      <c r="D24" s="5"/>
      <c r="E24" s="15" t="s">
        <v>836</v>
      </c>
    </row>
    <row r="25" spans="3:11" ht="12.75" customHeight="1" thickBot="1" x14ac:dyDescent="0.25">
      <c r="C25" s="32"/>
      <c r="D25" s="16"/>
      <c r="E25" s="17" t="s">
        <v>809</v>
      </c>
    </row>
    <row r="27" spans="3:11" ht="12.75" customHeight="1" x14ac:dyDescent="0.2"/>
    <row r="28" spans="3:11" ht="12.75" customHeight="1" x14ac:dyDescent="0.2"/>
    <row r="29" spans="3:11" ht="12.75" customHeight="1" x14ac:dyDescent="0.2"/>
    <row r="30" spans="3:11" ht="12.75" customHeight="1" x14ac:dyDescent="0.2"/>
    <row r="31" spans="3:11" ht="12.75" customHeight="1" x14ac:dyDescent="0.2"/>
    <row r="32" spans="3:1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sheetData>
  <mergeCells count="6">
    <mergeCell ref="A1:B1048576"/>
    <mergeCell ref="H4:H23"/>
    <mergeCell ref="C4:C7"/>
    <mergeCell ref="C9:C13"/>
    <mergeCell ref="C16:C21"/>
    <mergeCell ref="C23:C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6D92-10BB-4805-B27B-FD50BE4D304B}">
  <sheetPr>
    <outlinePr summaryBelow="0" summaryRight="0"/>
  </sheetPr>
  <dimension ref="B1:P701"/>
  <sheetViews>
    <sheetView topLeftCell="B1" zoomScaleNormal="100" workbookViewId="0">
      <selection activeCell="E12" sqref="E12"/>
    </sheetView>
  </sheetViews>
  <sheetFormatPr defaultColWidth="12.5703125" defaultRowHeight="15.75" customHeight="1" x14ac:dyDescent="0.2"/>
  <cols>
    <col min="2" max="2" width="13.140625" bestFit="1" customWidth="1"/>
    <col min="3" max="3" width="11.28515625" customWidth="1"/>
    <col min="4" max="4" width="10.85546875" style="8" customWidth="1"/>
    <col min="5" max="5" width="11" style="8" customWidth="1"/>
    <col min="6" max="6" width="20.140625" customWidth="1"/>
    <col min="7" max="7" width="10.7109375" bestFit="1" customWidth="1"/>
    <col min="8" max="8" width="16.28515625" bestFit="1" customWidth="1"/>
    <col min="9" max="9" width="14.42578125" bestFit="1" customWidth="1"/>
    <col min="10" max="10" width="11.7109375" bestFit="1" customWidth="1"/>
    <col min="11" max="11" width="12.140625" bestFit="1" customWidth="1"/>
    <col min="12" max="12" width="8.7109375" bestFit="1" customWidth="1"/>
    <col min="13" max="13" width="9.28515625" bestFit="1" customWidth="1"/>
    <col min="14" max="14" width="9.85546875" bestFit="1" customWidth="1"/>
    <col min="15" max="15" width="9" bestFit="1" customWidth="1"/>
  </cols>
  <sheetData>
    <row r="1" spans="2:16" ht="15" x14ac:dyDescent="0.2">
      <c r="B1" s="1" t="s">
        <v>0</v>
      </c>
      <c r="C1" s="1" t="s">
        <v>3</v>
      </c>
      <c r="D1" s="6" t="s">
        <v>810</v>
      </c>
      <c r="E1" s="6" t="s">
        <v>819</v>
      </c>
      <c r="F1" s="1" t="s">
        <v>5</v>
      </c>
      <c r="G1" s="1" t="s">
        <v>6</v>
      </c>
      <c r="H1" s="1" t="s">
        <v>7</v>
      </c>
      <c r="I1" s="1" t="s">
        <v>803</v>
      </c>
      <c r="J1" s="1" t="s">
        <v>771</v>
      </c>
      <c r="K1" s="1" t="s">
        <v>9</v>
      </c>
      <c r="L1" s="1" t="s">
        <v>10</v>
      </c>
      <c r="M1" s="1" t="s">
        <v>11</v>
      </c>
      <c r="N1" s="1" t="s">
        <v>12</v>
      </c>
      <c r="O1" s="1" t="s">
        <v>13</v>
      </c>
      <c r="P1" s="9" t="s">
        <v>781</v>
      </c>
    </row>
    <row r="2" spans="2:16" ht="15.75" customHeight="1" x14ac:dyDescent="0.25">
      <c r="B2" s="2" t="s">
        <v>14</v>
      </c>
      <c r="C2" s="2" t="s">
        <v>753</v>
      </c>
      <c r="D2" s="7">
        <v>2023</v>
      </c>
      <c r="E2" s="7" t="s">
        <v>759</v>
      </c>
      <c r="F2" s="3">
        <v>45232</v>
      </c>
      <c r="G2" s="4">
        <v>119</v>
      </c>
      <c r="H2" s="4">
        <v>6</v>
      </c>
      <c r="I2" s="4" t="str">
        <f>_xlfn.IFS(H2&lt;3,"Early",H2&lt;=6,"Standard",H2&lt;=9,"Slow")</f>
        <v>Standard</v>
      </c>
      <c r="J2" s="2" t="s">
        <v>18</v>
      </c>
      <c r="K2" s="2" t="s">
        <v>19</v>
      </c>
      <c r="L2" s="4">
        <v>2</v>
      </c>
      <c r="M2" s="4">
        <v>111.47</v>
      </c>
      <c r="N2" s="4">
        <v>222.94</v>
      </c>
      <c r="O2" s="2" t="s">
        <v>20</v>
      </c>
      <c r="P2" t="str">
        <f>IF('Cleaned Data'!N2&gt;JOTTING!F13,"High Sales","Low Sales")</f>
        <v>Low Sales</v>
      </c>
    </row>
    <row r="3" spans="2:16" ht="15.75" customHeight="1" x14ac:dyDescent="0.25">
      <c r="B3" s="2" t="s">
        <v>21</v>
      </c>
      <c r="C3" s="2" t="s">
        <v>754</v>
      </c>
      <c r="D3" s="7">
        <v>2023</v>
      </c>
      <c r="E3" s="7" t="s">
        <v>760</v>
      </c>
      <c r="F3" s="3">
        <v>45061</v>
      </c>
      <c r="G3" s="4">
        <v>686</v>
      </c>
      <c r="H3" s="4">
        <v>9</v>
      </c>
      <c r="I3" s="4" t="str">
        <f>_xlfn.IFS(H3&lt;3,"Early",H3&lt;=6,"Standard",H3&lt;=9,"Slow")</f>
        <v>Slow</v>
      </c>
      <c r="J3" s="2" t="s">
        <v>24</v>
      </c>
      <c r="K3" s="2" t="s">
        <v>25</v>
      </c>
      <c r="L3" s="4">
        <v>1</v>
      </c>
      <c r="M3" s="4">
        <v>343.24</v>
      </c>
      <c r="N3" s="4">
        <v>343.24</v>
      </c>
      <c r="O3" s="2" t="s">
        <v>26</v>
      </c>
      <c r="P3" t="str">
        <f>IF('Cleaned Data'!N3&gt;JOTTING!F14,"High Sales","Low Sales")</f>
        <v>Low Sales</v>
      </c>
    </row>
    <row r="4" spans="2:16" ht="15.75" customHeight="1" x14ac:dyDescent="0.25">
      <c r="B4" s="2" t="s">
        <v>27</v>
      </c>
      <c r="C4" s="2" t="s">
        <v>754</v>
      </c>
      <c r="D4" s="7">
        <v>2023</v>
      </c>
      <c r="E4" s="7" t="s">
        <v>760</v>
      </c>
      <c r="F4" s="3">
        <v>45059</v>
      </c>
      <c r="G4" s="4">
        <v>854</v>
      </c>
      <c r="H4" s="4">
        <v>6</v>
      </c>
      <c r="I4" s="4" t="str">
        <f t="shared" ref="I3:I66" si="0">_xlfn.IFS(H4&lt;3,"Early",H4&lt;=6,"Standard",H4&lt;=9,"Slow")</f>
        <v>Standard</v>
      </c>
      <c r="J4" s="2" t="s">
        <v>30</v>
      </c>
      <c r="K4" s="2" t="s">
        <v>25</v>
      </c>
      <c r="L4" s="4">
        <v>1</v>
      </c>
      <c r="M4" s="4">
        <v>382.37</v>
      </c>
      <c r="N4" s="4">
        <v>382.37</v>
      </c>
      <c r="O4" s="2" t="s">
        <v>31</v>
      </c>
      <c r="P4" t="str">
        <f>IF('Cleaned Data'!N4&gt;JOTTING!F15,"High Sales","Low Sales")</f>
        <v>High Sales</v>
      </c>
    </row>
    <row r="5" spans="2:16" ht="15.75" customHeight="1" x14ac:dyDescent="0.25">
      <c r="B5" s="2" t="s">
        <v>32</v>
      </c>
      <c r="C5" s="2" t="s">
        <v>755</v>
      </c>
      <c r="D5" s="7">
        <v>2023</v>
      </c>
      <c r="E5" s="7" t="s">
        <v>761</v>
      </c>
      <c r="F5" s="3">
        <v>44947</v>
      </c>
      <c r="G5" s="4">
        <v>834</v>
      </c>
      <c r="H5" s="4">
        <v>9</v>
      </c>
      <c r="I5" s="4" t="str">
        <f t="shared" si="0"/>
        <v>Slow</v>
      </c>
      <c r="J5" s="2" t="s">
        <v>30</v>
      </c>
      <c r="K5" s="2" t="s">
        <v>25</v>
      </c>
      <c r="L5" s="4">
        <v>4</v>
      </c>
      <c r="M5" s="4">
        <v>192.03</v>
      </c>
      <c r="N5" s="4">
        <v>768.12</v>
      </c>
      <c r="O5" s="2" t="s">
        <v>20</v>
      </c>
      <c r="P5" t="str">
        <f>IF('Cleaned Data'!N5&gt;JOTTING!F16,"High Sales","Low Sales")</f>
        <v>High Sales</v>
      </c>
    </row>
    <row r="6" spans="2:16" ht="15.75" customHeight="1" x14ac:dyDescent="0.25">
      <c r="B6" s="2" t="s">
        <v>36</v>
      </c>
      <c r="C6" s="2" t="s">
        <v>754</v>
      </c>
      <c r="D6" s="7">
        <v>2023</v>
      </c>
      <c r="E6" s="7" t="s">
        <v>762</v>
      </c>
      <c r="F6" s="3">
        <v>45134</v>
      </c>
      <c r="G6" s="4">
        <v>169</v>
      </c>
      <c r="H6" s="4">
        <v>7</v>
      </c>
      <c r="I6" s="4" t="str">
        <f t="shared" si="0"/>
        <v>Slow</v>
      </c>
      <c r="J6" s="2" t="s">
        <v>18</v>
      </c>
      <c r="K6" s="2" t="s">
        <v>19</v>
      </c>
      <c r="L6" s="4">
        <v>4</v>
      </c>
      <c r="M6" s="4">
        <v>340.17</v>
      </c>
      <c r="N6" s="4">
        <v>1360.68</v>
      </c>
      <c r="O6" s="2" t="s">
        <v>31</v>
      </c>
      <c r="P6" t="str">
        <f>IF('Cleaned Data'!N6&gt;JOTTING!F17,"High Sales","Low Sales")</f>
        <v>High Sales</v>
      </c>
    </row>
    <row r="7" spans="2:16" ht="15.75" customHeight="1" x14ac:dyDescent="0.25">
      <c r="B7" s="2" t="s">
        <v>38</v>
      </c>
      <c r="C7" s="2" t="s">
        <v>753</v>
      </c>
      <c r="D7" s="7">
        <v>2023</v>
      </c>
      <c r="E7" s="7" t="s">
        <v>762</v>
      </c>
      <c r="F7" s="3">
        <v>45131</v>
      </c>
      <c r="G7" s="4">
        <v>923</v>
      </c>
      <c r="H7" s="4">
        <v>9</v>
      </c>
      <c r="I7" s="4" t="str">
        <f t="shared" si="0"/>
        <v>Slow</v>
      </c>
      <c r="J7" s="2" t="s">
        <v>24</v>
      </c>
      <c r="K7" s="2" t="s">
        <v>39</v>
      </c>
      <c r="L7" s="4">
        <v>3</v>
      </c>
      <c r="M7" s="4">
        <v>227.81</v>
      </c>
      <c r="N7" s="4">
        <v>683.43</v>
      </c>
      <c r="O7" s="2" t="s">
        <v>31</v>
      </c>
      <c r="P7" t="str">
        <f>IF('Cleaned Data'!N7&gt;JOTTING!F19,"High Sales","Low Sales")</f>
        <v>High Sales</v>
      </c>
    </row>
    <row r="8" spans="2:16" ht="15.75" customHeight="1" x14ac:dyDescent="0.25">
      <c r="B8" s="2" t="s">
        <v>40</v>
      </c>
      <c r="C8" s="2" t="s">
        <v>755</v>
      </c>
      <c r="D8" s="7">
        <v>2023</v>
      </c>
      <c r="E8" s="7" t="s">
        <v>760</v>
      </c>
      <c r="F8" s="3">
        <v>45058</v>
      </c>
      <c r="G8" s="4">
        <v>310</v>
      </c>
      <c r="H8" s="4">
        <v>2</v>
      </c>
      <c r="I8" s="4" t="str">
        <f t="shared" si="0"/>
        <v>Early</v>
      </c>
      <c r="J8" s="2" t="s">
        <v>42</v>
      </c>
      <c r="K8" s="2" t="s">
        <v>25</v>
      </c>
      <c r="L8" s="4">
        <v>4</v>
      </c>
      <c r="M8" s="4">
        <v>370.94</v>
      </c>
      <c r="N8" s="4">
        <v>1483.76</v>
      </c>
      <c r="O8" s="2" t="s">
        <v>43</v>
      </c>
      <c r="P8" t="str">
        <f>IF('Cleaned Data'!N8&gt;JOTTING!F20,"High Sales","Low Sales")</f>
        <v>High Sales</v>
      </c>
    </row>
    <row r="9" spans="2:16" ht="15.75" customHeight="1" x14ac:dyDescent="0.25">
      <c r="B9" s="2" t="s">
        <v>44</v>
      </c>
      <c r="C9" s="2" t="s">
        <v>756</v>
      </c>
      <c r="D9" s="7">
        <v>2023</v>
      </c>
      <c r="E9" s="7" t="s">
        <v>763</v>
      </c>
      <c r="F9" s="3">
        <v>45261</v>
      </c>
      <c r="G9" s="4">
        <v>200</v>
      </c>
      <c r="H9" s="4">
        <v>8</v>
      </c>
      <c r="I9" s="4" t="str">
        <f t="shared" si="0"/>
        <v>Slow</v>
      </c>
      <c r="J9" s="2" t="s">
        <v>42</v>
      </c>
      <c r="K9" s="2" t="s">
        <v>25</v>
      </c>
      <c r="L9" s="4">
        <v>4</v>
      </c>
      <c r="M9" s="4">
        <v>139.65</v>
      </c>
      <c r="N9" s="4">
        <v>558.6</v>
      </c>
      <c r="O9" s="2" t="s">
        <v>31</v>
      </c>
      <c r="P9" t="str">
        <f>IF('Cleaned Data'!N9&gt;JOTTING!F21,"High Sales","Low Sales")</f>
        <v>High Sales</v>
      </c>
    </row>
    <row r="10" spans="2:16" ht="15.75" customHeight="1" x14ac:dyDescent="0.25">
      <c r="B10" s="2" t="s">
        <v>48</v>
      </c>
      <c r="C10" s="2" t="s">
        <v>753</v>
      </c>
      <c r="D10" s="7">
        <v>2023</v>
      </c>
      <c r="E10" s="7" t="s">
        <v>764</v>
      </c>
      <c r="F10" s="3">
        <v>44981</v>
      </c>
      <c r="G10" s="4">
        <v>797</v>
      </c>
      <c r="H10" s="4">
        <v>8</v>
      </c>
      <c r="I10" s="4" t="str">
        <f t="shared" si="0"/>
        <v>Slow</v>
      </c>
      <c r="J10" s="2" t="s">
        <v>42</v>
      </c>
      <c r="K10" s="2" t="s">
        <v>49</v>
      </c>
      <c r="L10" s="4">
        <v>4</v>
      </c>
      <c r="M10" s="4">
        <v>450.6</v>
      </c>
      <c r="N10" s="4">
        <v>1802.4</v>
      </c>
      <c r="O10" s="2" t="s">
        <v>20</v>
      </c>
      <c r="P10" t="str">
        <f>IF('Cleaned Data'!N10&gt;JOTTING!F22,"High Sales","Low Sales")</f>
        <v>High Sales</v>
      </c>
    </row>
    <row r="11" spans="2:16" ht="15.75" customHeight="1" x14ac:dyDescent="0.25">
      <c r="B11" s="2" t="s">
        <v>50</v>
      </c>
      <c r="C11" s="2" t="s">
        <v>755</v>
      </c>
      <c r="D11" s="7">
        <v>2023</v>
      </c>
      <c r="E11" s="7" t="s">
        <v>760</v>
      </c>
      <c r="F11" s="3">
        <v>45049</v>
      </c>
      <c r="G11" s="4">
        <v>231</v>
      </c>
      <c r="H11" s="4">
        <v>2</v>
      </c>
      <c r="I11" s="4" t="str">
        <f t="shared" si="0"/>
        <v>Early</v>
      </c>
      <c r="J11" s="2" t="s">
        <v>51</v>
      </c>
      <c r="K11" s="2" t="s">
        <v>19</v>
      </c>
      <c r="L11" s="4">
        <v>1</v>
      </c>
      <c r="M11" s="4">
        <v>179.33</v>
      </c>
      <c r="N11" s="4">
        <v>179.33</v>
      </c>
      <c r="O11" s="2" t="s">
        <v>43</v>
      </c>
      <c r="P11" t="str">
        <f>IF('Cleaned Data'!N11&gt;JOTTING!F23,"High Sales","Low Sales")</f>
        <v>High Sales</v>
      </c>
    </row>
    <row r="12" spans="2:16" ht="15.75" customHeight="1" x14ac:dyDescent="0.25">
      <c r="B12" s="2" t="s">
        <v>52</v>
      </c>
      <c r="C12" s="2" t="s">
        <v>757</v>
      </c>
      <c r="D12" s="7">
        <v>2023</v>
      </c>
      <c r="E12" s="7" t="s">
        <v>760</v>
      </c>
      <c r="F12" s="3">
        <v>45048</v>
      </c>
      <c r="G12" s="4">
        <v>722</v>
      </c>
      <c r="H12" s="4">
        <v>4</v>
      </c>
      <c r="I12" s="4" t="str">
        <f t="shared" si="0"/>
        <v>Standard</v>
      </c>
      <c r="J12" s="2" t="s">
        <v>55</v>
      </c>
      <c r="K12" s="2" t="s">
        <v>19</v>
      </c>
      <c r="L12" s="4">
        <v>1</v>
      </c>
      <c r="M12" s="4">
        <v>215.5</v>
      </c>
      <c r="N12" s="4">
        <v>215.5</v>
      </c>
      <c r="O12" s="2" t="s">
        <v>43</v>
      </c>
      <c r="P12" t="str">
        <f>IF('Cleaned Data'!N12&gt;JOTTING!F25,"High Sales","Low Sales")</f>
        <v>High Sales</v>
      </c>
    </row>
    <row r="13" spans="2:16" ht="15.75" customHeight="1" x14ac:dyDescent="0.25">
      <c r="B13" s="2" t="s">
        <v>56</v>
      </c>
      <c r="C13" s="2" t="s">
        <v>753</v>
      </c>
      <c r="D13" s="7">
        <v>2023</v>
      </c>
      <c r="E13" s="7" t="s">
        <v>764</v>
      </c>
      <c r="F13" s="3">
        <v>44967</v>
      </c>
      <c r="G13" s="4">
        <v>480</v>
      </c>
      <c r="H13" s="4">
        <v>7</v>
      </c>
      <c r="I13" s="4" t="str">
        <f t="shared" si="0"/>
        <v>Slow</v>
      </c>
      <c r="J13" s="2" t="s">
        <v>42</v>
      </c>
      <c r="K13" s="2" t="s">
        <v>57</v>
      </c>
      <c r="L13" s="4">
        <v>1</v>
      </c>
      <c r="M13" s="4">
        <v>76.14</v>
      </c>
      <c r="N13" s="4">
        <v>76.14</v>
      </c>
      <c r="O13" s="2" t="s">
        <v>43</v>
      </c>
      <c r="P13" t="str">
        <f>IF('Cleaned Data'!N13&gt;JOTTING!K3,"High Sales","Low Sales")</f>
        <v>High Sales</v>
      </c>
    </row>
    <row r="14" spans="2:16" ht="15.75" customHeight="1" x14ac:dyDescent="0.25">
      <c r="B14" s="2" t="s">
        <v>58</v>
      </c>
      <c r="C14" s="2" t="s">
        <v>755</v>
      </c>
      <c r="D14" s="7">
        <v>2023</v>
      </c>
      <c r="E14" s="7" t="s">
        <v>765</v>
      </c>
      <c r="F14" s="3">
        <v>45106</v>
      </c>
      <c r="G14" s="4">
        <v>231</v>
      </c>
      <c r="H14" s="4">
        <v>4</v>
      </c>
      <c r="I14" s="4" t="str">
        <f t="shared" si="0"/>
        <v>Standard</v>
      </c>
      <c r="J14" s="2" t="s">
        <v>18</v>
      </c>
      <c r="K14" s="2" t="s">
        <v>19</v>
      </c>
      <c r="L14" s="4">
        <v>4</v>
      </c>
      <c r="M14" s="4">
        <v>100.18</v>
      </c>
      <c r="N14" s="4">
        <v>400.72</v>
      </c>
      <c r="O14" s="2" t="s">
        <v>26</v>
      </c>
      <c r="P14" t="str">
        <f>IF('Cleaned Data'!N14&gt;JOTTING!K4,"High Sales","Low Sales")</f>
        <v>High Sales</v>
      </c>
    </row>
    <row r="15" spans="2:16" ht="15.75" customHeight="1" x14ac:dyDescent="0.25">
      <c r="B15" s="2" t="s">
        <v>59</v>
      </c>
      <c r="C15" s="2" t="s">
        <v>756</v>
      </c>
      <c r="D15" s="7">
        <v>2023</v>
      </c>
      <c r="E15" s="7" t="s">
        <v>766</v>
      </c>
      <c r="F15" s="3">
        <v>45182</v>
      </c>
      <c r="G15" s="4">
        <v>119</v>
      </c>
      <c r="H15" s="4">
        <v>4</v>
      </c>
      <c r="I15" s="4" t="str">
        <f t="shared" si="0"/>
        <v>Standard</v>
      </c>
      <c r="J15" s="2" t="s">
        <v>51</v>
      </c>
      <c r="K15" s="2" t="s">
        <v>25</v>
      </c>
      <c r="L15" s="4">
        <v>1</v>
      </c>
      <c r="M15" s="4">
        <v>282.14</v>
      </c>
      <c r="N15" s="4">
        <v>282.14</v>
      </c>
      <c r="O15" s="2" t="s">
        <v>43</v>
      </c>
      <c r="P15" t="str">
        <f>IF('Cleaned Data'!N15&gt;JOTTING!K5,"High Sales","Low Sales")</f>
        <v>High Sales</v>
      </c>
    </row>
    <row r="16" spans="2:16" ht="15.75" customHeight="1" x14ac:dyDescent="0.25">
      <c r="B16" s="2" t="s">
        <v>60</v>
      </c>
      <c r="C16" s="2" t="s">
        <v>757</v>
      </c>
      <c r="D16" s="7">
        <v>2023</v>
      </c>
      <c r="E16" s="7" t="s">
        <v>762</v>
      </c>
      <c r="F16" s="3">
        <v>45119</v>
      </c>
      <c r="G16" s="4">
        <v>635</v>
      </c>
      <c r="H16" s="4">
        <v>6</v>
      </c>
      <c r="I16" s="4" t="str">
        <f t="shared" si="0"/>
        <v>Standard</v>
      </c>
      <c r="J16" s="2" t="s">
        <v>51</v>
      </c>
      <c r="K16" s="2" t="s">
        <v>49</v>
      </c>
      <c r="L16" s="4">
        <v>4</v>
      </c>
      <c r="M16" s="4">
        <v>170.42</v>
      </c>
      <c r="N16" s="4">
        <v>681.68</v>
      </c>
      <c r="O16" s="2" t="s">
        <v>31</v>
      </c>
      <c r="P16" t="str">
        <f>IF('Cleaned Data'!N16&gt;JOTTING!K6,"High Sales","Low Sales")</f>
        <v>Low Sales</v>
      </c>
    </row>
    <row r="17" spans="2:16" ht="15.75" customHeight="1" x14ac:dyDescent="0.25">
      <c r="B17" s="2" t="s">
        <v>62</v>
      </c>
      <c r="C17" s="2" t="s">
        <v>754</v>
      </c>
      <c r="D17" s="7">
        <v>2023</v>
      </c>
      <c r="E17" s="7" t="s">
        <v>767</v>
      </c>
      <c r="F17" s="3">
        <v>44990</v>
      </c>
      <c r="G17" s="4">
        <v>326</v>
      </c>
      <c r="H17" s="4">
        <v>6</v>
      </c>
      <c r="I17" s="4" t="str">
        <f t="shared" si="0"/>
        <v>Standard</v>
      </c>
      <c r="J17" s="2" t="s">
        <v>63</v>
      </c>
      <c r="K17" s="2" t="s">
        <v>49</v>
      </c>
      <c r="L17" s="4">
        <v>1</v>
      </c>
      <c r="M17" s="4">
        <v>425.97</v>
      </c>
      <c r="N17" s="4">
        <v>425.97</v>
      </c>
      <c r="O17" s="2" t="s">
        <v>43</v>
      </c>
      <c r="P17" t="str">
        <f>IF('Cleaned Data'!N17&gt;JOTTING!K7,"High Sales","Low Sales")</f>
        <v>Low Sales</v>
      </c>
    </row>
    <row r="18" spans="2:16" ht="15.75" customHeight="1" x14ac:dyDescent="0.25">
      <c r="B18" s="2" t="s">
        <v>64</v>
      </c>
      <c r="C18" s="2" t="s">
        <v>757</v>
      </c>
      <c r="D18" s="7">
        <v>2023</v>
      </c>
      <c r="E18" s="7" t="s">
        <v>760</v>
      </c>
      <c r="F18" s="3">
        <v>45067</v>
      </c>
      <c r="G18" s="4">
        <v>253</v>
      </c>
      <c r="H18" s="4">
        <v>3</v>
      </c>
      <c r="I18" s="4" t="str">
        <f t="shared" si="0"/>
        <v>Standard</v>
      </c>
      <c r="J18" s="2" t="s">
        <v>63</v>
      </c>
      <c r="K18" s="2" t="s">
        <v>19</v>
      </c>
      <c r="L18" s="4">
        <v>1</v>
      </c>
      <c r="M18" s="4">
        <v>56.61</v>
      </c>
      <c r="N18" s="4">
        <v>56.61</v>
      </c>
      <c r="O18" s="2" t="s">
        <v>43</v>
      </c>
      <c r="P18" t="str">
        <f>IF('Cleaned Data'!N18&gt;JOTTING!K8,"High Sales","Low Sales")</f>
        <v>Low Sales</v>
      </c>
    </row>
    <row r="19" spans="2:16" ht="15.75" customHeight="1" x14ac:dyDescent="0.25">
      <c r="B19" s="2" t="s">
        <v>65</v>
      </c>
      <c r="C19" s="2" t="s">
        <v>757</v>
      </c>
      <c r="D19" s="7">
        <v>2023</v>
      </c>
      <c r="E19" s="7" t="s">
        <v>761</v>
      </c>
      <c r="F19" s="3">
        <v>44936</v>
      </c>
      <c r="G19" s="4">
        <v>904</v>
      </c>
      <c r="H19" s="4">
        <v>9</v>
      </c>
      <c r="I19" s="4" t="str">
        <f t="shared" si="0"/>
        <v>Slow</v>
      </c>
      <c r="J19" s="2" t="s">
        <v>55</v>
      </c>
      <c r="K19" s="2" t="s">
        <v>19</v>
      </c>
      <c r="L19" s="4">
        <v>2</v>
      </c>
      <c r="M19" s="4">
        <v>220.59</v>
      </c>
      <c r="N19" s="4">
        <v>441.18</v>
      </c>
      <c r="O19" s="2" t="s">
        <v>31</v>
      </c>
      <c r="P19" t="str">
        <f>IF('Cleaned Data'!N19&gt;JOTTING!K9,"High Sales","Low Sales")</f>
        <v>High Sales</v>
      </c>
    </row>
    <row r="20" spans="2:16" ht="15.75" customHeight="1" x14ac:dyDescent="0.25">
      <c r="B20" s="2" t="s">
        <v>66</v>
      </c>
      <c r="C20" s="2" t="s">
        <v>754</v>
      </c>
      <c r="D20" s="7">
        <v>2023</v>
      </c>
      <c r="E20" s="7" t="s">
        <v>759</v>
      </c>
      <c r="F20" s="3">
        <v>45245</v>
      </c>
      <c r="G20" s="4">
        <v>841</v>
      </c>
      <c r="H20" s="4">
        <v>2</v>
      </c>
      <c r="I20" s="4" t="str">
        <f t="shared" si="0"/>
        <v>Early</v>
      </c>
      <c r="J20" s="2" t="s">
        <v>51</v>
      </c>
      <c r="K20" s="2" t="s">
        <v>25</v>
      </c>
      <c r="L20" s="4">
        <v>3</v>
      </c>
      <c r="M20" s="4">
        <v>201.81</v>
      </c>
      <c r="N20" s="4">
        <v>605.42999999999995</v>
      </c>
      <c r="O20" s="2" t="s">
        <v>43</v>
      </c>
      <c r="P20" t="str">
        <f>IF('Cleaned Data'!N20&gt;JOTTING!K10,"High Sales","Low Sales")</f>
        <v>High Sales</v>
      </c>
    </row>
    <row r="21" spans="2:16" ht="15.75" customHeight="1" x14ac:dyDescent="0.25">
      <c r="B21" s="2" t="s">
        <v>67</v>
      </c>
      <c r="C21" s="2" t="s">
        <v>753</v>
      </c>
      <c r="D21" s="7">
        <v>2023</v>
      </c>
      <c r="E21" s="7" t="s">
        <v>764</v>
      </c>
      <c r="F21" s="3">
        <v>44963</v>
      </c>
      <c r="G21" s="4">
        <v>568</v>
      </c>
      <c r="H21" s="4">
        <v>6</v>
      </c>
      <c r="I21" s="4" t="str">
        <f t="shared" si="0"/>
        <v>Standard</v>
      </c>
      <c r="J21" s="2" t="s">
        <v>24</v>
      </c>
      <c r="K21" s="2" t="s">
        <v>57</v>
      </c>
      <c r="L21" s="4">
        <v>4</v>
      </c>
      <c r="M21" s="4">
        <v>58.7</v>
      </c>
      <c r="N21" s="4">
        <v>234.8</v>
      </c>
      <c r="O21" s="2" t="s">
        <v>20</v>
      </c>
      <c r="P21" t="str">
        <f>IF('Cleaned Data'!N21&gt;JOTTING!K11,"High Sales","Low Sales")</f>
        <v>Low Sales</v>
      </c>
    </row>
    <row r="22" spans="2:16" ht="15.75" customHeight="1" x14ac:dyDescent="0.25">
      <c r="B22" s="2" t="s">
        <v>68</v>
      </c>
      <c r="C22" s="2" t="s">
        <v>754</v>
      </c>
      <c r="D22" s="7">
        <v>2023</v>
      </c>
      <c r="E22" s="7" t="s">
        <v>768</v>
      </c>
      <c r="F22" s="3">
        <v>45152</v>
      </c>
      <c r="G22" s="4">
        <v>921</v>
      </c>
      <c r="H22" s="4">
        <v>7</v>
      </c>
      <c r="I22" s="4" t="str">
        <f t="shared" si="0"/>
        <v>Slow</v>
      </c>
      <c r="J22" s="2" t="s">
        <v>24</v>
      </c>
      <c r="K22" s="2" t="s">
        <v>57</v>
      </c>
      <c r="L22" s="4">
        <v>2</v>
      </c>
      <c r="M22" s="4">
        <v>105.97</v>
      </c>
      <c r="N22" s="4">
        <v>211.94</v>
      </c>
      <c r="O22" s="2" t="s">
        <v>26</v>
      </c>
      <c r="P22" t="str">
        <f>IF('Cleaned Data'!N22&gt;JOTTING!K12,"High Sales","Low Sales")</f>
        <v>Low Sales</v>
      </c>
    </row>
    <row r="23" spans="2:16" ht="15.75" customHeight="1" x14ac:dyDescent="0.25">
      <c r="B23" s="2" t="s">
        <v>69</v>
      </c>
      <c r="C23" s="2" t="s">
        <v>754</v>
      </c>
      <c r="D23" s="7">
        <v>2024</v>
      </c>
      <c r="E23" s="7" t="s">
        <v>761</v>
      </c>
      <c r="F23" s="3">
        <v>45295</v>
      </c>
      <c r="G23" s="4">
        <v>970</v>
      </c>
      <c r="H23" s="4">
        <v>9</v>
      </c>
      <c r="I23" s="4" t="str">
        <f t="shared" si="0"/>
        <v>Slow</v>
      </c>
      <c r="J23" s="2" t="s">
        <v>18</v>
      </c>
      <c r="K23" s="2" t="s">
        <v>57</v>
      </c>
      <c r="L23" s="4">
        <v>1</v>
      </c>
      <c r="M23" s="4">
        <v>236.14</v>
      </c>
      <c r="N23" s="4">
        <v>236.14</v>
      </c>
      <c r="O23" s="2" t="s">
        <v>26</v>
      </c>
      <c r="P23" t="str">
        <f>IF('Cleaned Data'!N23&gt;JOTTING!K13,"High Sales","Low Sales")</f>
        <v>Low Sales</v>
      </c>
    </row>
    <row r="24" spans="2:16" ht="15.75" customHeight="1" x14ac:dyDescent="0.25">
      <c r="B24" s="2" t="s">
        <v>70</v>
      </c>
      <c r="C24" s="2" t="s">
        <v>756</v>
      </c>
      <c r="D24" s="7">
        <v>2023</v>
      </c>
      <c r="E24" s="7" t="s">
        <v>762</v>
      </c>
      <c r="F24" s="3">
        <v>45125</v>
      </c>
      <c r="G24" s="4">
        <v>504</v>
      </c>
      <c r="H24" s="4">
        <v>3</v>
      </c>
      <c r="I24" s="4" t="str">
        <f t="shared" si="0"/>
        <v>Standard</v>
      </c>
      <c r="J24" s="2" t="s">
        <v>55</v>
      </c>
      <c r="K24" s="2" t="s">
        <v>57</v>
      </c>
      <c r="L24" s="4">
        <v>4</v>
      </c>
      <c r="M24" s="4">
        <v>271.79000000000002</v>
      </c>
      <c r="N24" s="4">
        <v>1087.1600000000001</v>
      </c>
      <c r="O24" s="2" t="s">
        <v>20</v>
      </c>
      <c r="P24" t="str">
        <f>IF('Cleaned Data'!N24&gt;JOTTING!K14,"High Sales","Low Sales")</f>
        <v>High Sales</v>
      </c>
    </row>
    <row r="25" spans="2:16" ht="15.75" customHeight="1" x14ac:dyDescent="0.25">
      <c r="B25" s="2" t="s">
        <v>71</v>
      </c>
      <c r="C25" s="2" t="s">
        <v>757</v>
      </c>
      <c r="D25" s="7">
        <v>2023</v>
      </c>
      <c r="E25" s="7" t="s">
        <v>763</v>
      </c>
      <c r="F25" s="3">
        <v>45267</v>
      </c>
      <c r="G25" s="4">
        <v>301</v>
      </c>
      <c r="H25" s="4">
        <v>3</v>
      </c>
      <c r="I25" s="4" t="str">
        <f t="shared" si="0"/>
        <v>Standard</v>
      </c>
      <c r="J25" s="2" t="s">
        <v>18</v>
      </c>
      <c r="K25" s="2" t="s">
        <v>19</v>
      </c>
      <c r="L25" s="4">
        <v>1</v>
      </c>
      <c r="M25" s="4">
        <v>231.93</v>
      </c>
      <c r="N25" s="4">
        <v>231.93</v>
      </c>
      <c r="O25" s="2" t="s">
        <v>26</v>
      </c>
      <c r="P25" t="str">
        <f>IF('Cleaned Data'!N25&gt;JOTTING!K15,"High Sales","Low Sales")</f>
        <v>High Sales</v>
      </c>
    </row>
    <row r="26" spans="2:16" ht="15.75" customHeight="1" x14ac:dyDescent="0.25">
      <c r="B26" s="2" t="s">
        <v>72</v>
      </c>
      <c r="C26" s="2" t="s">
        <v>753</v>
      </c>
      <c r="D26" s="7">
        <v>2023</v>
      </c>
      <c r="E26" s="7" t="s">
        <v>769</v>
      </c>
      <c r="F26" s="3">
        <v>45020</v>
      </c>
      <c r="G26" s="4">
        <v>137</v>
      </c>
      <c r="H26" s="4">
        <v>7</v>
      </c>
      <c r="I26" s="4" t="str">
        <f t="shared" si="0"/>
        <v>Slow</v>
      </c>
      <c r="J26" s="2" t="s">
        <v>55</v>
      </c>
      <c r="K26" s="2" t="s">
        <v>19</v>
      </c>
      <c r="L26" s="4">
        <v>3</v>
      </c>
      <c r="M26" s="4">
        <v>288.92</v>
      </c>
      <c r="N26" s="4">
        <v>866.76</v>
      </c>
      <c r="O26" s="2" t="s">
        <v>20</v>
      </c>
      <c r="P26" t="str">
        <f>IF('Cleaned Data'!N26&gt;JOTTING!K16,"High Sales","Low Sales")</f>
        <v>Low Sales</v>
      </c>
    </row>
    <row r="27" spans="2:16" ht="15" x14ac:dyDescent="0.25">
      <c r="B27" s="2" t="s">
        <v>73</v>
      </c>
      <c r="C27" s="2" t="s">
        <v>755</v>
      </c>
      <c r="D27" s="7">
        <v>2023</v>
      </c>
      <c r="E27" s="7" t="s">
        <v>770</v>
      </c>
      <c r="F27" s="3">
        <v>45208</v>
      </c>
      <c r="G27" s="4">
        <v>871</v>
      </c>
      <c r="H27" s="4">
        <v>4</v>
      </c>
      <c r="I27" s="4" t="str">
        <f t="shared" si="0"/>
        <v>Standard</v>
      </c>
      <c r="J27" s="2" t="s">
        <v>24</v>
      </c>
      <c r="K27" s="2" t="s">
        <v>39</v>
      </c>
      <c r="L27" s="4">
        <v>2</v>
      </c>
      <c r="M27" s="4">
        <v>317.81</v>
      </c>
      <c r="N27" s="4">
        <v>635.62</v>
      </c>
      <c r="O27" s="2" t="s">
        <v>20</v>
      </c>
      <c r="P27" t="str">
        <f>IF('Cleaned Data'!N27&gt;JOTTING!K17,"High Sales","Low Sales")</f>
        <v>Low Sales</v>
      </c>
    </row>
    <row r="28" spans="2:16" ht="15" x14ac:dyDescent="0.25">
      <c r="B28" s="2" t="s">
        <v>74</v>
      </c>
      <c r="C28" s="2" t="s">
        <v>755</v>
      </c>
      <c r="D28" s="7">
        <v>2023</v>
      </c>
      <c r="E28" s="7" t="s">
        <v>762</v>
      </c>
      <c r="F28" s="3">
        <v>45128</v>
      </c>
      <c r="G28" s="4">
        <v>287</v>
      </c>
      <c r="H28" s="4">
        <v>8</v>
      </c>
      <c r="I28" s="4" t="str">
        <f t="shared" si="0"/>
        <v>Slow</v>
      </c>
      <c r="J28" s="2" t="s">
        <v>42</v>
      </c>
      <c r="K28" s="2" t="s">
        <v>19</v>
      </c>
      <c r="L28" s="4">
        <v>3</v>
      </c>
      <c r="M28" s="4">
        <v>54.47</v>
      </c>
      <c r="N28" s="4">
        <v>163.41</v>
      </c>
      <c r="O28" s="2" t="s">
        <v>26</v>
      </c>
      <c r="P28" t="str">
        <f>IF('Cleaned Data'!N28&gt;JOTTING!K18,"High Sales","Low Sales")</f>
        <v>Low Sales</v>
      </c>
    </row>
    <row r="29" spans="2:16" ht="15" x14ac:dyDescent="0.25">
      <c r="B29" s="2" t="s">
        <v>77</v>
      </c>
      <c r="C29" s="2" t="s">
        <v>756</v>
      </c>
      <c r="D29" s="7">
        <v>2023</v>
      </c>
      <c r="E29" s="7" t="s">
        <v>766</v>
      </c>
      <c r="F29" s="3">
        <v>45196</v>
      </c>
      <c r="G29" s="4">
        <v>156</v>
      </c>
      <c r="H29" s="4">
        <v>7</v>
      </c>
      <c r="I29" s="4" t="str">
        <f t="shared" si="0"/>
        <v>Slow</v>
      </c>
      <c r="J29" s="2" t="s">
        <v>51</v>
      </c>
      <c r="K29" s="2" t="s">
        <v>19</v>
      </c>
      <c r="L29" s="4">
        <v>2</v>
      </c>
      <c r="M29" s="4">
        <v>258.83999999999997</v>
      </c>
      <c r="N29" s="4">
        <v>517.67999999999995</v>
      </c>
      <c r="O29" s="2" t="s">
        <v>20</v>
      </c>
      <c r="P29" t="str">
        <f>IF('Cleaned Data'!N29&gt;JOTTING!K19,"High Sales","Low Sales")</f>
        <v>High Sales</v>
      </c>
    </row>
    <row r="30" spans="2:16" ht="15" x14ac:dyDescent="0.25">
      <c r="B30" s="2" t="s">
        <v>78</v>
      </c>
      <c r="C30" s="2" t="s">
        <v>757</v>
      </c>
      <c r="D30" s="7">
        <v>2023</v>
      </c>
      <c r="E30" s="7" t="s">
        <v>761</v>
      </c>
      <c r="F30" s="3">
        <v>44954</v>
      </c>
      <c r="G30" s="4">
        <v>119</v>
      </c>
      <c r="H30" s="4">
        <v>5</v>
      </c>
      <c r="I30" s="4" t="str">
        <f t="shared" si="0"/>
        <v>Standard</v>
      </c>
      <c r="J30" s="2" t="s">
        <v>30</v>
      </c>
      <c r="K30" s="2" t="s">
        <v>19</v>
      </c>
      <c r="L30" s="4">
        <v>1</v>
      </c>
      <c r="M30" s="4">
        <v>483.57</v>
      </c>
      <c r="N30" s="4">
        <v>483.57</v>
      </c>
      <c r="O30" s="2" t="s">
        <v>20</v>
      </c>
      <c r="P30" t="str">
        <f>IF('Cleaned Data'!N30&gt;JOTTING!K20,"High Sales","Low Sales")</f>
        <v>High Sales</v>
      </c>
    </row>
    <row r="31" spans="2:16" ht="15" x14ac:dyDescent="0.25">
      <c r="B31" s="2" t="s">
        <v>79</v>
      </c>
      <c r="C31" s="2" t="s">
        <v>755</v>
      </c>
      <c r="D31" s="7">
        <v>2023</v>
      </c>
      <c r="E31" s="7" t="s">
        <v>767</v>
      </c>
      <c r="F31" s="3">
        <v>44987</v>
      </c>
      <c r="G31" s="4">
        <v>372</v>
      </c>
      <c r="H31" s="4">
        <v>7</v>
      </c>
      <c r="I31" s="4" t="str">
        <f t="shared" si="0"/>
        <v>Slow</v>
      </c>
      <c r="J31" s="2" t="s">
        <v>18</v>
      </c>
      <c r="K31" s="2" t="s">
        <v>39</v>
      </c>
      <c r="L31" s="4">
        <v>3</v>
      </c>
      <c r="M31" s="4">
        <v>283.56</v>
      </c>
      <c r="N31" s="4">
        <v>850.68</v>
      </c>
      <c r="O31" s="2" t="s">
        <v>20</v>
      </c>
      <c r="P31" t="str">
        <f>IF('Cleaned Data'!N31&gt;JOTTING!K21,"High Sales","Low Sales")</f>
        <v>Low Sales</v>
      </c>
    </row>
    <row r="32" spans="2:16" ht="15" x14ac:dyDescent="0.25">
      <c r="B32" s="2" t="s">
        <v>80</v>
      </c>
      <c r="C32" s="2" t="s">
        <v>757</v>
      </c>
      <c r="D32" s="7">
        <v>2023</v>
      </c>
      <c r="E32" s="7" t="s">
        <v>764</v>
      </c>
      <c r="F32" s="3">
        <v>44978</v>
      </c>
      <c r="G32" s="4">
        <v>218</v>
      </c>
      <c r="H32" s="4">
        <v>3</v>
      </c>
      <c r="I32" s="4" t="str">
        <f t="shared" si="0"/>
        <v>Standard</v>
      </c>
      <c r="J32" s="2" t="s">
        <v>55</v>
      </c>
      <c r="K32" s="2" t="s">
        <v>39</v>
      </c>
      <c r="L32" s="4">
        <v>3</v>
      </c>
      <c r="M32" s="4">
        <v>354.89</v>
      </c>
      <c r="N32" s="4">
        <v>1064.67</v>
      </c>
      <c r="O32" s="2" t="s">
        <v>43</v>
      </c>
      <c r="P32" t="str">
        <f>IF('Cleaned Data'!N32&gt;JOTTING!K22,"High Sales","Low Sales")</f>
        <v>Low Sales</v>
      </c>
    </row>
    <row r="33" spans="2:16" ht="15" x14ac:dyDescent="0.25">
      <c r="B33" s="2" t="s">
        <v>81</v>
      </c>
      <c r="C33" s="2" t="s">
        <v>754</v>
      </c>
      <c r="D33" s="7">
        <v>2023</v>
      </c>
      <c r="E33" s="7" t="s">
        <v>766</v>
      </c>
      <c r="F33" s="3">
        <v>45179</v>
      </c>
      <c r="G33" s="4">
        <v>682</v>
      </c>
      <c r="H33" s="4">
        <v>2</v>
      </c>
      <c r="I33" s="4" t="str">
        <f t="shared" si="0"/>
        <v>Early</v>
      </c>
      <c r="J33" s="2" t="s">
        <v>63</v>
      </c>
      <c r="K33" s="2" t="s">
        <v>57</v>
      </c>
      <c r="L33" s="4">
        <v>1</v>
      </c>
      <c r="M33" s="4">
        <v>190.34</v>
      </c>
      <c r="N33" s="4">
        <v>190.34</v>
      </c>
      <c r="O33" s="2" t="s">
        <v>20</v>
      </c>
      <c r="P33" t="str">
        <f>IF('Cleaned Data'!N33&gt;JOTTING!K23,"High Sales","Low Sales")</f>
        <v>Low Sales</v>
      </c>
    </row>
    <row r="34" spans="2:16" ht="15" x14ac:dyDescent="0.25">
      <c r="B34" s="2" t="s">
        <v>82</v>
      </c>
      <c r="C34" s="2" t="s">
        <v>753</v>
      </c>
      <c r="D34" s="7">
        <v>2023</v>
      </c>
      <c r="E34" s="7" t="s">
        <v>759</v>
      </c>
      <c r="F34" s="3">
        <v>45241</v>
      </c>
      <c r="G34" s="4">
        <v>615</v>
      </c>
      <c r="H34" s="4">
        <v>6</v>
      </c>
      <c r="I34" s="4" t="str">
        <f t="shared" si="0"/>
        <v>Standard</v>
      </c>
      <c r="J34" s="2" t="s">
        <v>30</v>
      </c>
      <c r="K34" s="2" t="s">
        <v>57</v>
      </c>
      <c r="L34" s="4">
        <v>3</v>
      </c>
      <c r="M34" s="4">
        <v>398.3</v>
      </c>
      <c r="N34" s="4">
        <v>1194.9000000000001</v>
      </c>
      <c r="O34" s="2" t="s">
        <v>31</v>
      </c>
      <c r="P34" t="str">
        <f>IF('Cleaned Data'!N34&gt;JOTTING!F47,"High Sales","Low Sales")</f>
        <v>High Sales</v>
      </c>
    </row>
    <row r="35" spans="2:16" ht="15" x14ac:dyDescent="0.25">
      <c r="B35" s="2" t="s">
        <v>83</v>
      </c>
      <c r="C35" s="2" t="s">
        <v>753</v>
      </c>
      <c r="D35" s="7">
        <v>2023</v>
      </c>
      <c r="E35" s="7" t="s">
        <v>770</v>
      </c>
      <c r="F35" s="3">
        <v>45202</v>
      </c>
      <c r="G35" s="4">
        <v>320</v>
      </c>
      <c r="H35" s="4">
        <v>2</v>
      </c>
      <c r="I35" s="4" t="str">
        <f t="shared" si="0"/>
        <v>Early</v>
      </c>
      <c r="J35" s="2" t="s">
        <v>55</v>
      </c>
      <c r="K35" s="2" t="s">
        <v>19</v>
      </c>
      <c r="L35" s="4">
        <v>4</v>
      </c>
      <c r="M35" s="4">
        <v>397.81</v>
      </c>
      <c r="N35" s="4">
        <v>1591.24</v>
      </c>
      <c r="O35" s="2" t="s">
        <v>26</v>
      </c>
      <c r="P35" t="str">
        <f>IF('Cleaned Data'!N35&gt;JOTTING!F48,"High Sales","Low Sales")</f>
        <v>High Sales</v>
      </c>
    </row>
    <row r="36" spans="2:16" ht="15" x14ac:dyDescent="0.25">
      <c r="B36" s="2" t="s">
        <v>84</v>
      </c>
      <c r="C36" s="2" t="s">
        <v>756</v>
      </c>
      <c r="D36" s="7">
        <v>2023</v>
      </c>
      <c r="E36" s="7" t="s">
        <v>761</v>
      </c>
      <c r="F36" s="3">
        <v>44941</v>
      </c>
      <c r="G36" s="4">
        <v>625</v>
      </c>
      <c r="H36" s="4">
        <v>3</v>
      </c>
      <c r="I36" s="4" t="str">
        <f t="shared" si="0"/>
        <v>Standard</v>
      </c>
      <c r="J36" s="2" t="s">
        <v>63</v>
      </c>
      <c r="K36" s="2" t="s">
        <v>39</v>
      </c>
      <c r="L36" s="4">
        <v>2</v>
      </c>
      <c r="M36" s="4">
        <v>284.58</v>
      </c>
      <c r="N36" s="4">
        <v>569.16</v>
      </c>
      <c r="O36" s="2" t="s">
        <v>20</v>
      </c>
      <c r="P36" t="str">
        <f>IF('Cleaned Data'!N36&gt;JOTTING!F49,"High Sales","Low Sales")</f>
        <v>High Sales</v>
      </c>
    </row>
    <row r="37" spans="2:16" ht="15" x14ac:dyDescent="0.25">
      <c r="B37" s="2" t="s">
        <v>85</v>
      </c>
      <c r="C37" s="2" t="s">
        <v>757</v>
      </c>
      <c r="D37" s="7">
        <v>2023</v>
      </c>
      <c r="E37" s="7" t="s">
        <v>759</v>
      </c>
      <c r="F37" s="3">
        <v>45249</v>
      </c>
      <c r="G37" s="4">
        <v>614</v>
      </c>
      <c r="H37" s="4">
        <v>6</v>
      </c>
      <c r="I37" s="4" t="str">
        <f t="shared" si="0"/>
        <v>Standard</v>
      </c>
      <c r="J37" s="2" t="s">
        <v>63</v>
      </c>
      <c r="K37" s="2" t="s">
        <v>57</v>
      </c>
      <c r="L37" s="4">
        <v>2</v>
      </c>
      <c r="M37" s="4">
        <v>489.21</v>
      </c>
      <c r="N37" s="4">
        <v>978.42</v>
      </c>
      <c r="O37" s="2" t="s">
        <v>20</v>
      </c>
      <c r="P37" t="str">
        <f>IF('Cleaned Data'!N37&gt;JOTTING!F50,"High Sales","Low Sales")</f>
        <v>High Sales</v>
      </c>
    </row>
    <row r="38" spans="2:16" ht="15" x14ac:dyDescent="0.25">
      <c r="B38" s="2" t="s">
        <v>86</v>
      </c>
      <c r="C38" s="2" t="s">
        <v>754</v>
      </c>
      <c r="D38" s="7">
        <v>2023</v>
      </c>
      <c r="E38" s="7" t="s">
        <v>760</v>
      </c>
      <c r="F38" s="3">
        <v>45061</v>
      </c>
      <c r="G38" s="4">
        <v>827</v>
      </c>
      <c r="H38" s="4">
        <v>5</v>
      </c>
      <c r="I38" s="4" t="str">
        <f t="shared" si="0"/>
        <v>Standard</v>
      </c>
      <c r="J38" s="2" t="s">
        <v>24</v>
      </c>
      <c r="K38" s="2" t="s">
        <v>25</v>
      </c>
      <c r="L38" s="4">
        <v>2</v>
      </c>
      <c r="M38" s="4">
        <v>106.5</v>
      </c>
      <c r="N38" s="4">
        <v>213</v>
      </c>
      <c r="O38" s="2" t="s">
        <v>43</v>
      </c>
      <c r="P38" t="str">
        <f>IF('Cleaned Data'!N38&gt;JOTTING!F51,"High Sales","Low Sales")</f>
        <v>High Sales</v>
      </c>
    </row>
    <row r="39" spans="2:16" ht="15" x14ac:dyDescent="0.25">
      <c r="B39" s="2" t="s">
        <v>87</v>
      </c>
      <c r="C39" s="2" t="s">
        <v>754</v>
      </c>
      <c r="D39" s="7">
        <v>2023</v>
      </c>
      <c r="E39" s="7" t="s">
        <v>765</v>
      </c>
      <c r="F39" s="3">
        <v>45079</v>
      </c>
      <c r="G39" s="4">
        <v>840</v>
      </c>
      <c r="H39" s="4">
        <v>8</v>
      </c>
      <c r="I39" s="4" t="str">
        <f t="shared" si="0"/>
        <v>Slow</v>
      </c>
      <c r="J39" s="2" t="s">
        <v>42</v>
      </c>
      <c r="K39" s="2" t="s">
        <v>25</v>
      </c>
      <c r="L39" s="4">
        <v>4</v>
      </c>
      <c r="M39" s="4">
        <v>57.63</v>
      </c>
      <c r="N39" s="4">
        <v>230.52</v>
      </c>
      <c r="O39" s="2" t="s">
        <v>26</v>
      </c>
      <c r="P39" t="str">
        <f>IF('Cleaned Data'!N39&gt;JOTTING!F52,"High Sales","Low Sales")</f>
        <v>High Sales</v>
      </c>
    </row>
    <row r="40" spans="2:16" ht="15" x14ac:dyDescent="0.25">
      <c r="B40" s="2" t="s">
        <v>88</v>
      </c>
      <c r="C40" s="2" t="s">
        <v>753</v>
      </c>
      <c r="D40" s="7">
        <v>2023</v>
      </c>
      <c r="E40" s="7" t="s">
        <v>764</v>
      </c>
      <c r="F40" s="3">
        <v>44974</v>
      </c>
      <c r="G40" s="4">
        <v>435</v>
      </c>
      <c r="H40" s="4">
        <v>9</v>
      </c>
      <c r="I40" s="4" t="str">
        <f t="shared" si="0"/>
        <v>Slow</v>
      </c>
      <c r="J40" s="2" t="s">
        <v>42</v>
      </c>
      <c r="K40" s="2" t="s">
        <v>39</v>
      </c>
      <c r="L40" s="4">
        <v>2</v>
      </c>
      <c r="M40" s="4">
        <v>396.57</v>
      </c>
      <c r="N40" s="4">
        <v>793.14</v>
      </c>
      <c r="O40" s="2" t="s">
        <v>31</v>
      </c>
      <c r="P40" t="str">
        <f>IF('Cleaned Data'!N40&gt;JOTTING!F53,"High Sales","Low Sales")</f>
        <v>High Sales</v>
      </c>
    </row>
    <row r="41" spans="2:16" ht="15" x14ac:dyDescent="0.25">
      <c r="B41" s="2" t="s">
        <v>89</v>
      </c>
      <c r="C41" s="2" t="s">
        <v>757</v>
      </c>
      <c r="D41" s="7">
        <v>2023</v>
      </c>
      <c r="E41" s="7" t="s">
        <v>766</v>
      </c>
      <c r="F41" s="3">
        <v>45199</v>
      </c>
      <c r="G41" s="4">
        <v>797</v>
      </c>
      <c r="H41" s="4">
        <v>3</v>
      </c>
      <c r="I41" s="4" t="str">
        <f t="shared" si="0"/>
        <v>Standard</v>
      </c>
      <c r="J41" s="2" t="s">
        <v>30</v>
      </c>
      <c r="K41" s="2" t="s">
        <v>39</v>
      </c>
      <c r="L41" s="4">
        <v>1</v>
      </c>
      <c r="M41" s="4">
        <v>413.22</v>
      </c>
      <c r="N41" s="4">
        <v>413.22</v>
      </c>
      <c r="O41" s="2" t="s">
        <v>20</v>
      </c>
      <c r="P41" t="str">
        <f>IF('Cleaned Data'!N41&gt;JOTTING!F54,"High Sales","Low Sales")</f>
        <v>High Sales</v>
      </c>
    </row>
    <row r="42" spans="2:16" ht="15" x14ac:dyDescent="0.25">
      <c r="B42" s="2" t="s">
        <v>90</v>
      </c>
      <c r="C42" s="2" t="s">
        <v>757</v>
      </c>
      <c r="D42" s="7">
        <v>2023</v>
      </c>
      <c r="E42" s="7" t="s">
        <v>767</v>
      </c>
      <c r="F42" s="3">
        <v>44996</v>
      </c>
      <c r="G42" s="4">
        <v>154</v>
      </c>
      <c r="H42" s="4">
        <v>3</v>
      </c>
      <c r="I42" s="4" t="str">
        <f t="shared" si="0"/>
        <v>Standard</v>
      </c>
      <c r="J42" s="2" t="s">
        <v>30</v>
      </c>
      <c r="K42" s="2" t="s">
        <v>57</v>
      </c>
      <c r="L42" s="4">
        <v>3</v>
      </c>
      <c r="M42" s="4">
        <v>104.09</v>
      </c>
      <c r="N42" s="4">
        <v>312.27</v>
      </c>
      <c r="O42" s="2" t="s">
        <v>31</v>
      </c>
      <c r="P42" t="str">
        <f>IF('Cleaned Data'!N42&gt;JOTTING!F55,"High Sales","Low Sales")</f>
        <v>High Sales</v>
      </c>
    </row>
    <row r="43" spans="2:16" ht="15" x14ac:dyDescent="0.25">
      <c r="B43" s="2" t="s">
        <v>91</v>
      </c>
      <c r="C43" s="2" t="s">
        <v>756</v>
      </c>
      <c r="D43" s="7">
        <v>2023</v>
      </c>
      <c r="E43" s="7" t="s">
        <v>762</v>
      </c>
      <c r="F43" s="3">
        <v>45135</v>
      </c>
      <c r="G43" s="4">
        <v>599</v>
      </c>
      <c r="H43" s="4">
        <v>3</v>
      </c>
      <c r="I43" s="4" t="str">
        <f t="shared" si="0"/>
        <v>Standard</v>
      </c>
      <c r="J43" s="2" t="s">
        <v>42</v>
      </c>
      <c r="K43" s="2" t="s">
        <v>25</v>
      </c>
      <c r="L43" s="4">
        <v>4</v>
      </c>
      <c r="M43" s="4">
        <v>169.51</v>
      </c>
      <c r="N43" s="4">
        <v>678.04</v>
      </c>
      <c r="O43" s="2" t="s">
        <v>31</v>
      </c>
      <c r="P43" t="str">
        <f>IF('Cleaned Data'!N43&gt;JOTTING!F56,"High Sales","Low Sales")</f>
        <v>High Sales</v>
      </c>
    </row>
    <row r="44" spans="2:16" ht="15" x14ac:dyDescent="0.25">
      <c r="B44" s="2" t="s">
        <v>92</v>
      </c>
      <c r="C44" s="2" t="s">
        <v>757</v>
      </c>
      <c r="D44" s="7">
        <v>2023</v>
      </c>
      <c r="E44" s="7" t="s">
        <v>759</v>
      </c>
      <c r="F44" s="3">
        <v>45239</v>
      </c>
      <c r="G44" s="4">
        <v>999</v>
      </c>
      <c r="H44" s="4">
        <v>6</v>
      </c>
      <c r="I44" s="4" t="str">
        <f t="shared" si="0"/>
        <v>Standard</v>
      </c>
      <c r="J44" s="2" t="s">
        <v>18</v>
      </c>
      <c r="K44" s="2" t="s">
        <v>39</v>
      </c>
      <c r="L44" s="4">
        <v>2</v>
      </c>
      <c r="M44" s="4">
        <v>57.9</v>
      </c>
      <c r="N44" s="4">
        <v>115.8</v>
      </c>
      <c r="O44" s="2" t="s">
        <v>43</v>
      </c>
      <c r="P44" t="str">
        <f>IF('Cleaned Data'!N44&gt;JOTTING!F57,"High Sales","Low Sales")</f>
        <v>High Sales</v>
      </c>
    </row>
    <row r="45" spans="2:16" ht="15" x14ac:dyDescent="0.25">
      <c r="B45" s="2" t="s">
        <v>93</v>
      </c>
      <c r="C45" s="2" t="s">
        <v>753</v>
      </c>
      <c r="D45" s="7">
        <v>2023</v>
      </c>
      <c r="E45" s="7" t="s">
        <v>764</v>
      </c>
      <c r="F45" s="3">
        <v>44960</v>
      </c>
      <c r="G45" s="4">
        <v>987</v>
      </c>
      <c r="H45" s="4">
        <v>1</v>
      </c>
      <c r="I45" s="4" t="str">
        <f t="shared" si="0"/>
        <v>Early</v>
      </c>
      <c r="J45" s="2" t="s">
        <v>42</v>
      </c>
      <c r="K45" s="2" t="s">
        <v>19</v>
      </c>
      <c r="L45" s="4">
        <v>1</v>
      </c>
      <c r="M45" s="4">
        <v>181.99</v>
      </c>
      <c r="N45" s="4">
        <v>181.99</v>
      </c>
      <c r="O45" s="2" t="s">
        <v>43</v>
      </c>
      <c r="P45" t="str">
        <f>IF('Cleaned Data'!N45&gt;JOTTING!F58,"High Sales","Low Sales")</f>
        <v>High Sales</v>
      </c>
    </row>
    <row r="46" spans="2:16" ht="15" x14ac:dyDescent="0.25">
      <c r="B46" s="2" t="s">
        <v>94</v>
      </c>
      <c r="C46" s="2" t="s">
        <v>753</v>
      </c>
      <c r="D46" s="7">
        <v>2023</v>
      </c>
      <c r="E46" s="7" t="s">
        <v>762</v>
      </c>
      <c r="F46" s="3">
        <v>45129</v>
      </c>
      <c r="G46" s="4">
        <v>865</v>
      </c>
      <c r="H46" s="4">
        <v>7</v>
      </c>
      <c r="I46" s="4" t="str">
        <f t="shared" si="0"/>
        <v>Slow</v>
      </c>
      <c r="J46" s="2" t="s">
        <v>30</v>
      </c>
      <c r="K46" s="2" t="s">
        <v>49</v>
      </c>
      <c r="L46" s="4">
        <v>3</v>
      </c>
      <c r="M46" s="4">
        <v>397.91</v>
      </c>
      <c r="N46" s="4">
        <v>1193.73</v>
      </c>
      <c r="O46" s="2" t="s">
        <v>20</v>
      </c>
      <c r="P46" t="str">
        <f>IF('Cleaned Data'!N46&gt;JOTTING!F59,"High Sales","Low Sales")</f>
        <v>High Sales</v>
      </c>
    </row>
    <row r="47" spans="2:16" ht="15" x14ac:dyDescent="0.25">
      <c r="B47" s="2" t="s">
        <v>95</v>
      </c>
      <c r="C47" s="2" t="s">
        <v>754</v>
      </c>
      <c r="D47" s="7">
        <v>2023</v>
      </c>
      <c r="E47" s="7" t="s">
        <v>767</v>
      </c>
      <c r="F47" s="3">
        <v>45013</v>
      </c>
      <c r="G47" s="4">
        <v>635</v>
      </c>
      <c r="H47" s="4">
        <v>1</v>
      </c>
      <c r="I47" s="4" t="str">
        <f t="shared" si="0"/>
        <v>Early</v>
      </c>
      <c r="J47" s="2" t="s">
        <v>55</v>
      </c>
      <c r="K47" s="2" t="s">
        <v>25</v>
      </c>
      <c r="L47" s="4">
        <v>3</v>
      </c>
      <c r="M47" s="4">
        <v>283.08</v>
      </c>
      <c r="N47" s="4">
        <v>849.24</v>
      </c>
      <c r="O47" s="2" t="s">
        <v>43</v>
      </c>
      <c r="P47" t="str">
        <f>IF('Cleaned Data'!N47&gt;JOTTING!F60,"High Sales","Low Sales")</f>
        <v>High Sales</v>
      </c>
    </row>
    <row r="48" spans="2:16" ht="15" x14ac:dyDescent="0.25">
      <c r="B48" s="2" t="s">
        <v>96</v>
      </c>
      <c r="C48" s="2" t="s">
        <v>756</v>
      </c>
      <c r="D48" s="7">
        <v>2023</v>
      </c>
      <c r="E48" s="7" t="s">
        <v>760</v>
      </c>
      <c r="F48" s="3">
        <v>45057</v>
      </c>
      <c r="G48" s="4">
        <v>261</v>
      </c>
      <c r="H48" s="4">
        <v>5</v>
      </c>
      <c r="I48" s="4" t="str">
        <f t="shared" si="0"/>
        <v>Standard</v>
      </c>
      <c r="J48" s="2" t="s">
        <v>18</v>
      </c>
      <c r="K48" s="2" t="s">
        <v>39</v>
      </c>
      <c r="L48" s="4">
        <v>4</v>
      </c>
      <c r="M48" s="4">
        <v>206.64</v>
      </c>
      <c r="N48" s="4">
        <v>826.56</v>
      </c>
      <c r="O48" s="2" t="s">
        <v>43</v>
      </c>
      <c r="P48" t="str">
        <f>IF('Cleaned Data'!N48&gt;JOTTING!F61,"High Sales","Low Sales")</f>
        <v>High Sales</v>
      </c>
    </row>
    <row r="49" spans="2:16" ht="15" x14ac:dyDescent="0.25">
      <c r="B49" s="2" t="s">
        <v>97</v>
      </c>
      <c r="C49" s="2" t="s">
        <v>753</v>
      </c>
      <c r="D49" s="7">
        <v>2023</v>
      </c>
      <c r="E49" s="7" t="s">
        <v>765</v>
      </c>
      <c r="F49" s="3">
        <v>45107</v>
      </c>
      <c r="G49" s="4">
        <v>769</v>
      </c>
      <c r="H49" s="4">
        <v>8</v>
      </c>
      <c r="I49" s="4" t="str">
        <f t="shared" si="0"/>
        <v>Slow</v>
      </c>
      <c r="J49" s="2" t="s">
        <v>42</v>
      </c>
      <c r="K49" s="2" t="s">
        <v>25</v>
      </c>
      <c r="L49" s="4">
        <v>4</v>
      </c>
      <c r="M49" s="4">
        <v>217.28</v>
      </c>
      <c r="N49" s="4">
        <v>869.12</v>
      </c>
      <c r="O49" s="2" t="s">
        <v>43</v>
      </c>
      <c r="P49" t="str">
        <f>IF('Cleaned Data'!N49&gt;JOTTING!F62,"High Sales","Low Sales")</f>
        <v>High Sales</v>
      </c>
    </row>
    <row r="50" spans="2:16" ht="15" x14ac:dyDescent="0.25">
      <c r="B50" s="2" t="s">
        <v>98</v>
      </c>
      <c r="C50" s="2" t="s">
        <v>755</v>
      </c>
      <c r="D50" s="7">
        <v>2023</v>
      </c>
      <c r="E50" s="7" t="s">
        <v>760</v>
      </c>
      <c r="F50" s="3">
        <v>45060</v>
      </c>
      <c r="G50" s="4">
        <v>693</v>
      </c>
      <c r="H50" s="4">
        <v>4</v>
      </c>
      <c r="I50" s="4" t="str">
        <f t="shared" si="0"/>
        <v>Standard</v>
      </c>
      <c r="J50" s="2" t="s">
        <v>63</v>
      </c>
      <c r="K50" s="2" t="s">
        <v>57</v>
      </c>
      <c r="L50" s="4">
        <v>4</v>
      </c>
      <c r="M50" s="4">
        <v>50.61</v>
      </c>
      <c r="N50" s="4">
        <v>202.44</v>
      </c>
      <c r="O50" s="2" t="s">
        <v>26</v>
      </c>
      <c r="P50" t="str">
        <f>IF('Cleaned Data'!N50&gt;JOTTING!F63,"High Sales","Low Sales")</f>
        <v>High Sales</v>
      </c>
    </row>
    <row r="51" spans="2:16" ht="15" x14ac:dyDescent="0.25">
      <c r="B51" s="2" t="s">
        <v>99</v>
      </c>
      <c r="C51" s="2" t="s">
        <v>756</v>
      </c>
      <c r="D51" s="7">
        <v>2023</v>
      </c>
      <c r="E51" s="7" t="s">
        <v>768</v>
      </c>
      <c r="F51" s="3">
        <v>45168</v>
      </c>
      <c r="G51" s="4">
        <v>258</v>
      </c>
      <c r="H51" s="4">
        <v>5</v>
      </c>
      <c r="I51" s="4" t="str">
        <f t="shared" si="0"/>
        <v>Standard</v>
      </c>
      <c r="J51" s="2" t="s">
        <v>51</v>
      </c>
      <c r="K51" s="2" t="s">
        <v>57</v>
      </c>
      <c r="L51" s="4">
        <v>1</v>
      </c>
      <c r="M51" s="4">
        <v>184.91</v>
      </c>
      <c r="N51" s="4">
        <v>184.91</v>
      </c>
      <c r="O51" s="2" t="s">
        <v>31</v>
      </c>
      <c r="P51" t="str">
        <f>IF('Cleaned Data'!N51&gt;JOTTING!F64,"High Sales","Low Sales")</f>
        <v>High Sales</v>
      </c>
    </row>
    <row r="52" spans="2:16" ht="15" x14ac:dyDescent="0.25">
      <c r="B52" s="2" t="s">
        <v>100</v>
      </c>
      <c r="C52" s="2" t="s">
        <v>755</v>
      </c>
      <c r="D52" s="7">
        <v>2023</v>
      </c>
      <c r="E52" s="7" t="s">
        <v>765</v>
      </c>
      <c r="F52" s="3">
        <v>45106</v>
      </c>
      <c r="G52" s="4">
        <v>287</v>
      </c>
      <c r="H52" s="4">
        <v>4</v>
      </c>
      <c r="I52" s="4" t="str">
        <f t="shared" si="0"/>
        <v>Standard</v>
      </c>
      <c r="J52" s="2" t="s">
        <v>18</v>
      </c>
      <c r="K52" s="2" t="s">
        <v>57</v>
      </c>
      <c r="L52" s="4">
        <v>1</v>
      </c>
      <c r="M52" s="4">
        <v>340.91</v>
      </c>
      <c r="N52" s="4">
        <v>340.91</v>
      </c>
      <c r="O52" s="2" t="s">
        <v>43</v>
      </c>
      <c r="P52" t="str">
        <f>IF('Cleaned Data'!N52&gt;JOTTING!F65,"High Sales","Low Sales")</f>
        <v>High Sales</v>
      </c>
    </row>
    <row r="53" spans="2:16" ht="15" x14ac:dyDescent="0.25">
      <c r="B53" s="2" t="s">
        <v>101</v>
      </c>
      <c r="C53" s="2" t="s">
        <v>756</v>
      </c>
      <c r="D53" s="7">
        <v>2023</v>
      </c>
      <c r="E53" s="7" t="s">
        <v>768</v>
      </c>
      <c r="F53" s="3">
        <v>45144</v>
      </c>
      <c r="G53" s="4">
        <v>159</v>
      </c>
      <c r="H53" s="4">
        <v>4</v>
      </c>
      <c r="I53" s="4" t="str">
        <f t="shared" si="0"/>
        <v>Standard</v>
      </c>
      <c r="J53" s="2" t="s">
        <v>63</v>
      </c>
      <c r="K53" s="2" t="s">
        <v>39</v>
      </c>
      <c r="L53" s="4">
        <v>4</v>
      </c>
      <c r="M53" s="4">
        <v>488.39</v>
      </c>
      <c r="N53" s="4">
        <v>1953.56</v>
      </c>
      <c r="O53" s="2" t="s">
        <v>31</v>
      </c>
      <c r="P53" t="str">
        <f>IF('Cleaned Data'!N53&gt;JOTTING!F66,"High Sales","Low Sales")</f>
        <v>High Sales</v>
      </c>
    </row>
    <row r="54" spans="2:16" ht="15" x14ac:dyDescent="0.25">
      <c r="B54" s="2" t="s">
        <v>102</v>
      </c>
      <c r="C54" s="2" t="s">
        <v>757</v>
      </c>
      <c r="D54" s="7">
        <v>2023</v>
      </c>
      <c r="E54" s="7" t="s">
        <v>770</v>
      </c>
      <c r="F54" s="3">
        <v>45203</v>
      </c>
      <c r="G54" s="4">
        <v>916</v>
      </c>
      <c r="H54" s="4">
        <v>8</v>
      </c>
      <c r="I54" s="4" t="str">
        <f t="shared" si="0"/>
        <v>Slow</v>
      </c>
      <c r="J54" s="2" t="s">
        <v>51</v>
      </c>
      <c r="K54" s="2" t="s">
        <v>39</v>
      </c>
      <c r="L54" s="4">
        <v>2</v>
      </c>
      <c r="M54" s="4">
        <v>431.18</v>
      </c>
      <c r="N54" s="4">
        <v>862.36</v>
      </c>
      <c r="O54" s="2" t="s">
        <v>26</v>
      </c>
      <c r="P54" t="str">
        <f>IF('Cleaned Data'!N54&gt;JOTTING!F67,"High Sales","Low Sales")</f>
        <v>High Sales</v>
      </c>
    </row>
    <row r="55" spans="2:16" ht="15" x14ac:dyDescent="0.25">
      <c r="B55" s="2" t="s">
        <v>103</v>
      </c>
      <c r="C55" s="2" t="s">
        <v>755</v>
      </c>
      <c r="D55" s="7">
        <v>2023</v>
      </c>
      <c r="E55" s="7" t="s">
        <v>762</v>
      </c>
      <c r="F55" s="3">
        <v>45132</v>
      </c>
      <c r="G55" s="4">
        <v>418</v>
      </c>
      <c r="H55" s="4">
        <v>2</v>
      </c>
      <c r="I55" s="4" t="str">
        <f t="shared" si="0"/>
        <v>Early</v>
      </c>
      <c r="J55" s="2" t="s">
        <v>55</v>
      </c>
      <c r="K55" s="2" t="s">
        <v>25</v>
      </c>
      <c r="L55" s="4">
        <v>3</v>
      </c>
      <c r="M55" s="4">
        <v>60.62</v>
      </c>
      <c r="N55" s="4">
        <v>181.86</v>
      </c>
      <c r="O55" s="2" t="s">
        <v>26</v>
      </c>
      <c r="P55" t="str">
        <f>IF('Cleaned Data'!N55&gt;JOTTING!F68,"High Sales","Low Sales")</f>
        <v>High Sales</v>
      </c>
    </row>
    <row r="56" spans="2:16" ht="15" x14ac:dyDescent="0.25">
      <c r="B56" s="2" t="s">
        <v>104</v>
      </c>
      <c r="C56" s="2" t="s">
        <v>753</v>
      </c>
      <c r="D56" s="7">
        <v>2023</v>
      </c>
      <c r="E56" s="7" t="s">
        <v>768</v>
      </c>
      <c r="F56" s="3">
        <v>45142</v>
      </c>
      <c r="G56" s="4">
        <v>977</v>
      </c>
      <c r="H56" s="4">
        <v>1</v>
      </c>
      <c r="I56" s="4" t="str">
        <f t="shared" si="0"/>
        <v>Early</v>
      </c>
      <c r="J56" s="2" t="s">
        <v>42</v>
      </c>
      <c r="K56" s="2" t="s">
        <v>39</v>
      </c>
      <c r="L56" s="4">
        <v>3</v>
      </c>
      <c r="M56" s="4">
        <v>454.35</v>
      </c>
      <c r="N56" s="4">
        <v>1363.05</v>
      </c>
      <c r="O56" s="2" t="s">
        <v>43</v>
      </c>
      <c r="P56" t="str">
        <f>IF('Cleaned Data'!N56&gt;JOTTING!F69,"High Sales","Low Sales")</f>
        <v>High Sales</v>
      </c>
    </row>
    <row r="57" spans="2:16" ht="15" x14ac:dyDescent="0.25">
      <c r="B57" s="2" t="s">
        <v>105</v>
      </c>
      <c r="C57" s="2" t="s">
        <v>757</v>
      </c>
      <c r="D57" s="7">
        <v>2023</v>
      </c>
      <c r="E57" s="7" t="s">
        <v>762</v>
      </c>
      <c r="F57" s="3">
        <v>45136</v>
      </c>
      <c r="G57" s="4">
        <v>310</v>
      </c>
      <c r="H57" s="4">
        <v>3</v>
      </c>
      <c r="I57" s="4" t="str">
        <f t="shared" si="0"/>
        <v>Standard</v>
      </c>
      <c r="J57" s="2" t="s">
        <v>30</v>
      </c>
      <c r="K57" s="2" t="s">
        <v>25</v>
      </c>
      <c r="L57" s="4">
        <v>1</v>
      </c>
      <c r="M57" s="4">
        <v>402.44</v>
      </c>
      <c r="N57" s="4">
        <v>402.44</v>
      </c>
      <c r="O57" s="2" t="s">
        <v>31</v>
      </c>
      <c r="P57" t="str">
        <f>IF('Cleaned Data'!N57&gt;JOTTING!F70,"High Sales","Low Sales")</f>
        <v>High Sales</v>
      </c>
    </row>
    <row r="58" spans="2:16" ht="15" x14ac:dyDescent="0.25">
      <c r="B58" s="2" t="s">
        <v>106</v>
      </c>
      <c r="C58" s="2" t="s">
        <v>754</v>
      </c>
      <c r="D58" s="7">
        <v>2023</v>
      </c>
      <c r="E58" s="7" t="s">
        <v>760</v>
      </c>
      <c r="F58" s="3">
        <v>45074</v>
      </c>
      <c r="G58" s="4">
        <v>505</v>
      </c>
      <c r="H58" s="4">
        <v>9</v>
      </c>
      <c r="I58" s="4" t="str">
        <f t="shared" si="0"/>
        <v>Slow</v>
      </c>
      <c r="J58" s="2" t="s">
        <v>63</v>
      </c>
      <c r="K58" s="2" t="s">
        <v>19</v>
      </c>
      <c r="L58" s="4">
        <v>3</v>
      </c>
      <c r="M58" s="4">
        <v>401.17</v>
      </c>
      <c r="N58" s="4">
        <v>1203.51</v>
      </c>
      <c r="O58" s="2" t="s">
        <v>43</v>
      </c>
      <c r="P58" t="str">
        <f>IF('Cleaned Data'!N58&gt;JOTTING!F71,"High Sales","Low Sales")</f>
        <v>High Sales</v>
      </c>
    </row>
    <row r="59" spans="2:16" ht="15" x14ac:dyDescent="0.25">
      <c r="B59" s="2" t="s">
        <v>107</v>
      </c>
      <c r="C59" s="2" t="s">
        <v>755</v>
      </c>
      <c r="D59" s="7">
        <v>2023</v>
      </c>
      <c r="E59" s="7" t="s">
        <v>760</v>
      </c>
      <c r="F59" s="3">
        <v>45054</v>
      </c>
      <c r="G59" s="4">
        <v>763</v>
      </c>
      <c r="H59" s="4">
        <v>4</v>
      </c>
      <c r="I59" s="4" t="str">
        <f t="shared" si="0"/>
        <v>Standard</v>
      </c>
      <c r="J59" s="2" t="s">
        <v>24</v>
      </c>
      <c r="K59" s="2" t="s">
        <v>49</v>
      </c>
      <c r="L59" s="4">
        <v>2</v>
      </c>
      <c r="M59" s="4">
        <v>256.10000000000002</v>
      </c>
      <c r="N59" s="4">
        <v>512.20000000000005</v>
      </c>
      <c r="O59" s="2" t="s">
        <v>20</v>
      </c>
      <c r="P59" t="str">
        <f>IF('Cleaned Data'!N59&gt;JOTTING!F72,"High Sales","Low Sales")</f>
        <v>High Sales</v>
      </c>
    </row>
    <row r="60" spans="2:16" ht="15" x14ac:dyDescent="0.25">
      <c r="B60" s="2" t="s">
        <v>108</v>
      </c>
      <c r="C60" s="2" t="s">
        <v>753</v>
      </c>
      <c r="D60" s="7">
        <v>2023</v>
      </c>
      <c r="E60" s="7" t="s">
        <v>759</v>
      </c>
      <c r="F60" s="3">
        <v>45260</v>
      </c>
      <c r="G60" s="4">
        <v>208</v>
      </c>
      <c r="H60" s="4">
        <v>5</v>
      </c>
      <c r="I60" s="4" t="str">
        <f t="shared" si="0"/>
        <v>Standard</v>
      </c>
      <c r="J60" s="2" t="s">
        <v>18</v>
      </c>
      <c r="K60" s="2" t="s">
        <v>19</v>
      </c>
      <c r="L60" s="4">
        <v>3</v>
      </c>
      <c r="M60" s="4">
        <v>229.1</v>
      </c>
      <c r="N60" s="4">
        <v>687.3</v>
      </c>
      <c r="O60" s="2" t="s">
        <v>31</v>
      </c>
      <c r="P60" t="str">
        <f>IF('Cleaned Data'!N60&gt;JOTTING!F73,"High Sales","Low Sales")</f>
        <v>High Sales</v>
      </c>
    </row>
    <row r="61" spans="2:16" ht="15" x14ac:dyDescent="0.25">
      <c r="B61" s="2" t="s">
        <v>109</v>
      </c>
      <c r="C61" s="2" t="s">
        <v>756</v>
      </c>
      <c r="D61" s="7">
        <v>2023</v>
      </c>
      <c r="E61" s="7" t="s">
        <v>768</v>
      </c>
      <c r="F61" s="3">
        <v>45150</v>
      </c>
      <c r="G61" s="4">
        <v>175</v>
      </c>
      <c r="H61" s="4">
        <v>2</v>
      </c>
      <c r="I61" s="4" t="str">
        <f t="shared" si="0"/>
        <v>Early</v>
      </c>
      <c r="J61" s="2" t="s">
        <v>30</v>
      </c>
      <c r="K61" s="2" t="s">
        <v>25</v>
      </c>
      <c r="L61" s="4">
        <v>1</v>
      </c>
      <c r="M61" s="4">
        <v>186.31</v>
      </c>
      <c r="N61" s="4">
        <v>186.31</v>
      </c>
      <c r="O61" s="2" t="s">
        <v>20</v>
      </c>
      <c r="P61" t="str">
        <f>IF('Cleaned Data'!N61&gt;JOTTING!F74,"High Sales","Low Sales")</f>
        <v>High Sales</v>
      </c>
    </row>
    <row r="62" spans="2:16" ht="15" x14ac:dyDescent="0.25">
      <c r="B62" s="2" t="s">
        <v>110</v>
      </c>
      <c r="C62" s="2" t="s">
        <v>756</v>
      </c>
      <c r="D62" s="7">
        <v>2023</v>
      </c>
      <c r="E62" s="7" t="s">
        <v>769</v>
      </c>
      <c r="F62" s="3">
        <v>45020</v>
      </c>
      <c r="G62" s="4">
        <v>641</v>
      </c>
      <c r="H62" s="4">
        <v>4</v>
      </c>
      <c r="I62" s="4" t="str">
        <f t="shared" si="0"/>
        <v>Standard</v>
      </c>
      <c r="J62" s="2" t="s">
        <v>55</v>
      </c>
      <c r="K62" s="2" t="s">
        <v>57</v>
      </c>
      <c r="L62" s="4">
        <v>1</v>
      </c>
      <c r="M62" s="4">
        <v>79.56</v>
      </c>
      <c r="N62" s="4">
        <v>79.56</v>
      </c>
      <c r="O62" s="2" t="s">
        <v>20</v>
      </c>
      <c r="P62" t="str">
        <f>IF('Cleaned Data'!N62&gt;JOTTING!F75,"High Sales","Low Sales")</f>
        <v>High Sales</v>
      </c>
    </row>
    <row r="63" spans="2:16" ht="15" x14ac:dyDescent="0.25">
      <c r="B63" s="2" t="s">
        <v>111</v>
      </c>
      <c r="C63" s="2" t="s">
        <v>756</v>
      </c>
      <c r="D63" s="7">
        <v>2023</v>
      </c>
      <c r="E63" s="7" t="s">
        <v>762</v>
      </c>
      <c r="F63" s="3">
        <v>45110</v>
      </c>
      <c r="G63" s="4">
        <v>413</v>
      </c>
      <c r="H63" s="4">
        <v>2</v>
      </c>
      <c r="I63" s="4" t="str">
        <f t="shared" si="0"/>
        <v>Early</v>
      </c>
      <c r="J63" s="2" t="s">
        <v>24</v>
      </c>
      <c r="K63" s="2" t="s">
        <v>49</v>
      </c>
      <c r="L63" s="4">
        <v>2</v>
      </c>
      <c r="M63" s="4">
        <v>152.71</v>
      </c>
      <c r="N63" s="4">
        <v>305.42</v>
      </c>
      <c r="O63" s="2" t="s">
        <v>20</v>
      </c>
      <c r="P63" t="str">
        <f>IF('Cleaned Data'!N63&gt;JOTTING!F76,"High Sales","Low Sales")</f>
        <v>High Sales</v>
      </c>
    </row>
    <row r="64" spans="2:16" ht="15" x14ac:dyDescent="0.25">
      <c r="B64" s="2" t="s">
        <v>112</v>
      </c>
      <c r="C64" s="2" t="s">
        <v>754</v>
      </c>
      <c r="D64" s="7">
        <v>2023</v>
      </c>
      <c r="E64" s="7" t="s">
        <v>760</v>
      </c>
      <c r="F64" s="3">
        <v>45049</v>
      </c>
      <c r="G64" s="4">
        <v>216</v>
      </c>
      <c r="H64" s="4">
        <v>2</v>
      </c>
      <c r="I64" s="4" t="str">
        <f t="shared" si="0"/>
        <v>Early</v>
      </c>
      <c r="J64" s="2" t="s">
        <v>51</v>
      </c>
      <c r="K64" s="2" t="s">
        <v>25</v>
      </c>
      <c r="L64" s="4">
        <v>2</v>
      </c>
      <c r="M64" s="4">
        <v>160.97</v>
      </c>
      <c r="N64" s="4">
        <v>321.94</v>
      </c>
      <c r="O64" s="2" t="s">
        <v>20</v>
      </c>
      <c r="P64" t="str">
        <f>IF('Cleaned Data'!N64&gt;JOTTING!F77,"High Sales","Low Sales")</f>
        <v>High Sales</v>
      </c>
    </row>
    <row r="65" spans="2:16" ht="15" x14ac:dyDescent="0.25">
      <c r="B65" s="2" t="s">
        <v>113</v>
      </c>
      <c r="C65" s="2" t="s">
        <v>753</v>
      </c>
      <c r="D65" s="7">
        <v>2023</v>
      </c>
      <c r="E65" s="7" t="s">
        <v>763</v>
      </c>
      <c r="F65" s="3">
        <v>45271</v>
      </c>
      <c r="G65" s="4">
        <v>967</v>
      </c>
      <c r="H65" s="4">
        <v>4</v>
      </c>
      <c r="I65" s="4" t="str">
        <f t="shared" si="0"/>
        <v>Standard</v>
      </c>
      <c r="J65" s="2" t="s">
        <v>24</v>
      </c>
      <c r="K65" s="2" t="s">
        <v>19</v>
      </c>
      <c r="L65" s="4">
        <v>3</v>
      </c>
      <c r="M65" s="4">
        <v>267.83</v>
      </c>
      <c r="N65" s="4">
        <v>803.49</v>
      </c>
      <c r="O65" s="2" t="s">
        <v>43</v>
      </c>
      <c r="P65" t="str">
        <f>IF('Cleaned Data'!N65&gt;JOTTING!F78,"High Sales","Low Sales")</f>
        <v>High Sales</v>
      </c>
    </row>
    <row r="66" spans="2:16" ht="15" x14ac:dyDescent="0.25">
      <c r="B66" s="2" t="s">
        <v>114</v>
      </c>
      <c r="C66" s="2" t="s">
        <v>757</v>
      </c>
      <c r="D66" s="7">
        <v>2023</v>
      </c>
      <c r="E66" s="7" t="s">
        <v>761</v>
      </c>
      <c r="F66" s="3">
        <v>44935</v>
      </c>
      <c r="G66" s="4">
        <v>803</v>
      </c>
      <c r="H66" s="4">
        <v>6</v>
      </c>
      <c r="I66" s="4" t="str">
        <f t="shared" si="0"/>
        <v>Standard</v>
      </c>
      <c r="J66" s="2" t="s">
        <v>24</v>
      </c>
      <c r="K66" s="2" t="s">
        <v>19</v>
      </c>
      <c r="L66" s="4">
        <v>3</v>
      </c>
      <c r="M66" s="4">
        <v>386.35</v>
      </c>
      <c r="N66" s="4">
        <v>1159.05</v>
      </c>
      <c r="O66" s="2" t="s">
        <v>20</v>
      </c>
      <c r="P66" t="str">
        <f>IF('Cleaned Data'!N66&gt;JOTTING!F79,"High Sales","Low Sales")</f>
        <v>High Sales</v>
      </c>
    </row>
    <row r="67" spans="2:16" ht="15" x14ac:dyDescent="0.25">
      <c r="B67" s="2" t="s">
        <v>115</v>
      </c>
      <c r="C67" s="2" t="s">
        <v>754</v>
      </c>
      <c r="D67" s="7">
        <v>2023</v>
      </c>
      <c r="E67" s="7" t="s">
        <v>767</v>
      </c>
      <c r="F67" s="3">
        <v>45016</v>
      </c>
      <c r="G67" s="4">
        <v>118</v>
      </c>
      <c r="H67" s="4">
        <v>7</v>
      </c>
      <c r="I67" s="4" t="str">
        <f t="shared" ref="I67:I130" si="1">_xlfn.IFS(H67&lt;3,"Early",H67&lt;=6,"Standard",H67&lt;=9,"Slow")</f>
        <v>Slow</v>
      </c>
      <c r="J67" s="2" t="s">
        <v>42</v>
      </c>
      <c r="K67" s="2" t="s">
        <v>49</v>
      </c>
      <c r="L67" s="4">
        <v>1</v>
      </c>
      <c r="M67" s="4">
        <v>263.20999999999998</v>
      </c>
      <c r="N67" s="4">
        <v>263.20999999999998</v>
      </c>
      <c r="O67" s="2" t="s">
        <v>43</v>
      </c>
      <c r="P67" t="str">
        <f>IF('Cleaned Data'!N67&gt;JOTTING!F80,"High Sales","Low Sales")</f>
        <v>High Sales</v>
      </c>
    </row>
    <row r="68" spans="2:16" ht="15" x14ac:dyDescent="0.25">
      <c r="B68" s="2" t="s">
        <v>116</v>
      </c>
      <c r="C68" s="2" t="s">
        <v>756</v>
      </c>
      <c r="D68" s="7">
        <v>2023</v>
      </c>
      <c r="E68" s="7" t="s">
        <v>760</v>
      </c>
      <c r="F68" s="3">
        <v>45063</v>
      </c>
      <c r="G68" s="4">
        <v>531</v>
      </c>
      <c r="H68" s="4">
        <v>3</v>
      </c>
      <c r="I68" s="4" t="str">
        <f t="shared" si="1"/>
        <v>Standard</v>
      </c>
      <c r="J68" s="2" t="s">
        <v>51</v>
      </c>
      <c r="K68" s="2" t="s">
        <v>39</v>
      </c>
      <c r="L68" s="4">
        <v>2</v>
      </c>
      <c r="M68" s="4">
        <v>76.03</v>
      </c>
      <c r="N68" s="4">
        <v>152.06</v>
      </c>
      <c r="O68" s="2" t="s">
        <v>20</v>
      </c>
      <c r="P68" t="str">
        <f>IF('Cleaned Data'!N68&gt;JOTTING!F81,"High Sales","Low Sales")</f>
        <v>High Sales</v>
      </c>
    </row>
    <row r="69" spans="2:16" ht="15" x14ac:dyDescent="0.25">
      <c r="B69" s="2" t="s">
        <v>117</v>
      </c>
      <c r="C69" s="2" t="s">
        <v>754</v>
      </c>
      <c r="D69" s="7">
        <v>2023</v>
      </c>
      <c r="E69" s="7" t="s">
        <v>762</v>
      </c>
      <c r="F69" s="3">
        <v>45108</v>
      </c>
      <c r="G69" s="4">
        <v>784</v>
      </c>
      <c r="H69" s="4">
        <v>3</v>
      </c>
      <c r="I69" s="4" t="str">
        <f t="shared" si="1"/>
        <v>Standard</v>
      </c>
      <c r="J69" s="2" t="s">
        <v>30</v>
      </c>
      <c r="K69" s="2" t="s">
        <v>25</v>
      </c>
      <c r="L69" s="4">
        <v>2</v>
      </c>
      <c r="M69" s="4">
        <v>481.01</v>
      </c>
      <c r="N69" s="4">
        <v>962.02</v>
      </c>
      <c r="O69" s="2" t="s">
        <v>20</v>
      </c>
      <c r="P69" t="str">
        <f>IF('Cleaned Data'!N69&gt;JOTTING!F82,"High Sales","Low Sales")</f>
        <v>High Sales</v>
      </c>
    </row>
    <row r="70" spans="2:16" ht="15" x14ac:dyDescent="0.25">
      <c r="B70" s="2" t="s">
        <v>118</v>
      </c>
      <c r="C70" s="2" t="s">
        <v>754</v>
      </c>
      <c r="D70" s="7">
        <v>2023</v>
      </c>
      <c r="E70" s="7" t="s">
        <v>759</v>
      </c>
      <c r="F70" s="3">
        <v>45243</v>
      </c>
      <c r="G70" s="4">
        <v>839</v>
      </c>
      <c r="H70" s="4">
        <v>6</v>
      </c>
      <c r="I70" s="4" t="str">
        <f t="shared" si="1"/>
        <v>Standard</v>
      </c>
      <c r="J70" s="2" t="s">
        <v>24</v>
      </c>
      <c r="K70" s="2" t="s">
        <v>25</v>
      </c>
      <c r="L70" s="4">
        <v>2</v>
      </c>
      <c r="M70" s="4">
        <v>474.23</v>
      </c>
      <c r="N70" s="4">
        <v>948.46</v>
      </c>
      <c r="O70" s="2" t="s">
        <v>26</v>
      </c>
      <c r="P70" t="str">
        <f>IF('Cleaned Data'!N70&gt;JOTTING!F83,"High Sales","Low Sales")</f>
        <v>High Sales</v>
      </c>
    </row>
    <row r="71" spans="2:16" ht="15" x14ac:dyDescent="0.25">
      <c r="B71" s="2" t="s">
        <v>119</v>
      </c>
      <c r="C71" s="2" t="s">
        <v>754</v>
      </c>
      <c r="D71" s="7">
        <v>2023</v>
      </c>
      <c r="E71" s="7" t="s">
        <v>764</v>
      </c>
      <c r="F71" s="3">
        <v>44962</v>
      </c>
      <c r="G71" s="4">
        <v>449</v>
      </c>
      <c r="H71" s="4">
        <v>3</v>
      </c>
      <c r="I71" s="4" t="str">
        <f t="shared" si="1"/>
        <v>Standard</v>
      </c>
      <c r="J71" s="2" t="s">
        <v>63</v>
      </c>
      <c r="K71" s="2" t="s">
        <v>25</v>
      </c>
      <c r="L71" s="4">
        <v>3</v>
      </c>
      <c r="M71" s="4">
        <v>403.34</v>
      </c>
      <c r="N71" s="4">
        <v>1210.02</v>
      </c>
      <c r="O71" s="2" t="s">
        <v>31</v>
      </c>
      <c r="P71" t="str">
        <f>IF('Cleaned Data'!N71&gt;JOTTING!F84,"High Sales","Low Sales")</f>
        <v>High Sales</v>
      </c>
    </row>
    <row r="72" spans="2:16" ht="15" x14ac:dyDescent="0.25">
      <c r="B72" s="2" t="s">
        <v>120</v>
      </c>
      <c r="C72" s="2" t="s">
        <v>755</v>
      </c>
      <c r="D72" s="7">
        <v>2023</v>
      </c>
      <c r="E72" s="7" t="s">
        <v>770</v>
      </c>
      <c r="F72" s="3">
        <v>45223</v>
      </c>
      <c r="G72" s="4">
        <v>282</v>
      </c>
      <c r="H72" s="4">
        <v>2</v>
      </c>
      <c r="I72" s="4" t="str">
        <f t="shared" si="1"/>
        <v>Early</v>
      </c>
      <c r="J72" s="2" t="s">
        <v>55</v>
      </c>
      <c r="K72" s="2" t="s">
        <v>49</v>
      </c>
      <c r="L72" s="4">
        <v>2</v>
      </c>
      <c r="M72" s="4">
        <v>496.1</v>
      </c>
      <c r="N72" s="4">
        <v>992.2</v>
      </c>
      <c r="O72" s="2" t="s">
        <v>43</v>
      </c>
      <c r="P72" t="str">
        <f>IF('Cleaned Data'!N72&gt;JOTTING!F85,"High Sales","Low Sales")</f>
        <v>High Sales</v>
      </c>
    </row>
    <row r="73" spans="2:16" ht="15" x14ac:dyDescent="0.25">
      <c r="B73" s="2" t="s">
        <v>121</v>
      </c>
      <c r="C73" s="2" t="s">
        <v>756</v>
      </c>
      <c r="D73" s="7">
        <v>2023</v>
      </c>
      <c r="E73" s="7" t="s">
        <v>761</v>
      </c>
      <c r="F73" s="3">
        <v>44955</v>
      </c>
      <c r="G73" s="4">
        <v>212</v>
      </c>
      <c r="H73" s="4">
        <v>8</v>
      </c>
      <c r="I73" s="4" t="str">
        <f t="shared" si="1"/>
        <v>Slow</v>
      </c>
      <c r="J73" s="2" t="s">
        <v>63</v>
      </c>
      <c r="K73" s="2" t="s">
        <v>39</v>
      </c>
      <c r="L73" s="4">
        <v>1</v>
      </c>
      <c r="M73" s="4">
        <v>295.02</v>
      </c>
      <c r="N73" s="4">
        <v>295.02</v>
      </c>
      <c r="O73" s="2" t="s">
        <v>20</v>
      </c>
      <c r="P73" t="str">
        <f>IF('Cleaned Data'!N73&gt;JOTTING!F86,"High Sales","Low Sales")</f>
        <v>High Sales</v>
      </c>
    </row>
    <row r="74" spans="2:16" ht="15" x14ac:dyDescent="0.25">
      <c r="B74" s="2" t="s">
        <v>122</v>
      </c>
      <c r="C74" s="2" t="s">
        <v>754</v>
      </c>
      <c r="D74" s="7">
        <v>2023</v>
      </c>
      <c r="E74" s="7" t="s">
        <v>759</v>
      </c>
      <c r="F74" s="3">
        <v>45239</v>
      </c>
      <c r="G74" s="4">
        <v>282</v>
      </c>
      <c r="H74" s="4">
        <v>5</v>
      </c>
      <c r="I74" s="4" t="str">
        <f t="shared" si="1"/>
        <v>Standard</v>
      </c>
      <c r="J74" s="2" t="s">
        <v>18</v>
      </c>
      <c r="K74" s="2" t="s">
        <v>39</v>
      </c>
      <c r="L74" s="4">
        <v>1</v>
      </c>
      <c r="M74" s="4">
        <v>483.25</v>
      </c>
      <c r="N74" s="4">
        <v>483.25</v>
      </c>
      <c r="O74" s="2" t="s">
        <v>43</v>
      </c>
      <c r="P74" t="str">
        <f>IF('Cleaned Data'!N74&gt;JOTTING!F87,"High Sales","Low Sales")</f>
        <v>High Sales</v>
      </c>
    </row>
    <row r="75" spans="2:16" ht="15" x14ac:dyDescent="0.25">
      <c r="B75" s="2" t="s">
        <v>123</v>
      </c>
      <c r="C75" s="2" t="s">
        <v>755</v>
      </c>
      <c r="D75" s="7">
        <v>2023</v>
      </c>
      <c r="E75" s="7" t="s">
        <v>761</v>
      </c>
      <c r="F75" s="3">
        <v>44946</v>
      </c>
      <c r="G75" s="4">
        <v>580</v>
      </c>
      <c r="H75" s="4">
        <v>1</v>
      </c>
      <c r="I75" s="4" t="str">
        <f t="shared" si="1"/>
        <v>Early</v>
      </c>
      <c r="J75" s="2" t="s">
        <v>42</v>
      </c>
      <c r="K75" s="2" t="s">
        <v>39</v>
      </c>
      <c r="L75" s="4">
        <v>3</v>
      </c>
      <c r="M75" s="4">
        <v>84.02</v>
      </c>
      <c r="N75" s="4">
        <v>252.06</v>
      </c>
      <c r="O75" s="2" t="s">
        <v>43</v>
      </c>
      <c r="P75" t="str">
        <f>IF('Cleaned Data'!N75&gt;JOTTING!F88,"High Sales","Low Sales")</f>
        <v>High Sales</v>
      </c>
    </row>
    <row r="76" spans="2:16" ht="15" x14ac:dyDescent="0.25">
      <c r="B76" s="2" t="s">
        <v>124</v>
      </c>
      <c r="C76" s="2" t="s">
        <v>756</v>
      </c>
      <c r="D76" s="7">
        <v>2023</v>
      </c>
      <c r="E76" s="7" t="s">
        <v>761</v>
      </c>
      <c r="F76" s="3">
        <v>44936</v>
      </c>
      <c r="G76" s="4">
        <v>245</v>
      </c>
      <c r="H76" s="4">
        <v>3</v>
      </c>
      <c r="I76" s="4" t="str">
        <f t="shared" si="1"/>
        <v>Standard</v>
      </c>
      <c r="J76" s="2" t="s">
        <v>55</v>
      </c>
      <c r="K76" s="2" t="s">
        <v>25</v>
      </c>
      <c r="L76" s="4">
        <v>4</v>
      </c>
      <c r="M76" s="4">
        <v>214.56</v>
      </c>
      <c r="N76" s="4">
        <v>858.24</v>
      </c>
      <c r="O76" s="2" t="s">
        <v>31</v>
      </c>
      <c r="P76" t="str">
        <f>IF('Cleaned Data'!N76&gt;JOTTING!F89,"High Sales","Low Sales")</f>
        <v>High Sales</v>
      </c>
    </row>
    <row r="77" spans="2:16" ht="15" x14ac:dyDescent="0.25">
      <c r="B77" s="2" t="s">
        <v>125</v>
      </c>
      <c r="C77" s="2" t="s">
        <v>756</v>
      </c>
      <c r="D77" s="7">
        <v>2023</v>
      </c>
      <c r="E77" s="7" t="s">
        <v>766</v>
      </c>
      <c r="F77" s="3">
        <v>45189</v>
      </c>
      <c r="G77" s="4">
        <v>930</v>
      </c>
      <c r="H77" s="4">
        <v>8</v>
      </c>
      <c r="I77" s="4" t="str">
        <f t="shared" si="1"/>
        <v>Slow</v>
      </c>
      <c r="J77" s="2" t="s">
        <v>51</v>
      </c>
      <c r="K77" s="2" t="s">
        <v>39</v>
      </c>
      <c r="L77" s="4">
        <v>3</v>
      </c>
      <c r="M77" s="4">
        <v>151.41999999999999</v>
      </c>
      <c r="N77" s="4">
        <v>454.26</v>
      </c>
      <c r="O77" s="2" t="s">
        <v>26</v>
      </c>
      <c r="P77" t="str">
        <f>IF('Cleaned Data'!N77&gt;JOTTING!F90,"High Sales","Low Sales")</f>
        <v>High Sales</v>
      </c>
    </row>
    <row r="78" spans="2:16" ht="15" x14ac:dyDescent="0.25">
      <c r="B78" s="2" t="s">
        <v>126</v>
      </c>
      <c r="C78" s="2" t="s">
        <v>756</v>
      </c>
      <c r="D78" s="7">
        <v>2024</v>
      </c>
      <c r="E78" s="7" t="s">
        <v>761</v>
      </c>
      <c r="F78" s="3">
        <v>45294</v>
      </c>
      <c r="G78" s="4">
        <v>727</v>
      </c>
      <c r="H78" s="4">
        <v>4</v>
      </c>
      <c r="I78" s="4" t="str">
        <f t="shared" si="1"/>
        <v>Standard</v>
      </c>
      <c r="J78" s="2" t="s">
        <v>51</v>
      </c>
      <c r="K78" s="2" t="s">
        <v>19</v>
      </c>
      <c r="L78" s="4">
        <v>4</v>
      </c>
      <c r="M78" s="4">
        <v>138.12</v>
      </c>
      <c r="N78" s="4">
        <v>552.48</v>
      </c>
      <c r="O78" s="2" t="s">
        <v>43</v>
      </c>
      <c r="P78" t="str">
        <f>IF('Cleaned Data'!N78&gt;JOTTING!F91,"High Sales","Low Sales")</f>
        <v>High Sales</v>
      </c>
    </row>
    <row r="79" spans="2:16" ht="15" x14ac:dyDescent="0.25">
      <c r="B79" s="2" t="s">
        <v>127</v>
      </c>
      <c r="C79" s="2" t="s">
        <v>754</v>
      </c>
      <c r="D79" s="7">
        <v>2023</v>
      </c>
      <c r="E79" s="7" t="s">
        <v>763</v>
      </c>
      <c r="F79" s="3">
        <v>45261</v>
      </c>
      <c r="G79" s="4">
        <v>212</v>
      </c>
      <c r="H79" s="4">
        <v>7</v>
      </c>
      <c r="I79" s="4" t="str">
        <f t="shared" si="1"/>
        <v>Slow</v>
      </c>
      <c r="J79" s="2" t="s">
        <v>42</v>
      </c>
      <c r="K79" s="2" t="s">
        <v>39</v>
      </c>
      <c r="L79" s="4">
        <v>2</v>
      </c>
      <c r="M79" s="4">
        <v>113.36</v>
      </c>
      <c r="N79" s="4">
        <v>226.72</v>
      </c>
      <c r="O79" s="2" t="s">
        <v>43</v>
      </c>
      <c r="P79" t="str">
        <f>IF('Cleaned Data'!N79&gt;JOTTING!F92,"High Sales","Low Sales")</f>
        <v>High Sales</v>
      </c>
    </row>
    <row r="80" spans="2:16" ht="15" x14ac:dyDescent="0.25">
      <c r="B80" s="2" t="s">
        <v>128</v>
      </c>
      <c r="C80" s="2" t="s">
        <v>755</v>
      </c>
      <c r="D80" s="7">
        <v>2023</v>
      </c>
      <c r="E80" s="7" t="s">
        <v>768</v>
      </c>
      <c r="F80" s="3">
        <v>45139</v>
      </c>
      <c r="G80" s="4">
        <v>862</v>
      </c>
      <c r="H80" s="4">
        <v>2</v>
      </c>
      <c r="I80" s="4" t="str">
        <f t="shared" si="1"/>
        <v>Early</v>
      </c>
      <c r="J80" s="2" t="s">
        <v>55</v>
      </c>
      <c r="K80" s="2" t="s">
        <v>25</v>
      </c>
      <c r="L80" s="4">
        <v>3</v>
      </c>
      <c r="M80" s="4">
        <v>330.09</v>
      </c>
      <c r="N80" s="4">
        <v>990.27</v>
      </c>
      <c r="O80" s="2" t="s">
        <v>20</v>
      </c>
      <c r="P80" t="str">
        <f>IF('Cleaned Data'!N80&gt;JOTTING!F93,"High Sales","Low Sales")</f>
        <v>High Sales</v>
      </c>
    </row>
    <row r="81" spans="2:16" ht="15" x14ac:dyDescent="0.25">
      <c r="B81" s="2" t="s">
        <v>129</v>
      </c>
      <c r="C81" s="2" t="s">
        <v>757</v>
      </c>
      <c r="D81" s="7">
        <v>2023</v>
      </c>
      <c r="E81" s="7" t="s">
        <v>763</v>
      </c>
      <c r="F81" s="3">
        <v>45268</v>
      </c>
      <c r="G81" s="4">
        <v>575</v>
      </c>
      <c r="H81" s="4">
        <v>7</v>
      </c>
      <c r="I81" s="4" t="str">
        <f t="shared" si="1"/>
        <v>Slow</v>
      </c>
      <c r="J81" s="2" t="s">
        <v>42</v>
      </c>
      <c r="K81" s="2" t="s">
        <v>25</v>
      </c>
      <c r="L81" s="4">
        <v>1</v>
      </c>
      <c r="M81" s="4">
        <v>401.59</v>
      </c>
      <c r="N81" s="4">
        <v>401.59</v>
      </c>
      <c r="O81" s="2" t="s">
        <v>43</v>
      </c>
      <c r="P81" t="str">
        <f>IF('Cleaned Data'!N81&gt;JOTTING!F94,"High Sales","Low Sales")</f>
        <v>High Sales</v>
      </c>
    </row>
    <row r="82" spans="2:16" ht="15" x14ac:dyDescent="0.25">
      <c r="B82" s="2" t="s">
        <v>130</v>
      </c>
      <c r="C82" s="2" t="s">
        <v>757</v>
      </c>
      <c r="D82" s="7">
        <v>2023</v>
      </c>
      <c r="E82" s="7" t="s">
        <v>761</v>
      </c>
      <c r="F82" s="3">
        <v>44933</v>
      </c>
      <c r="G82" s="4">
        <v>862</v>
      </c>
      <c r="H82" s="4">
        <v>5</v>
      </c>
      <c r="I82" s="4" t="str">
        <f t="shared" si="1"/>
        <v>Standard</v>
      </c>
      <c r="J82" s="2" t="s">
        <v>30</v>
      </c>
      <c r="K82" s="2" t="s">
        <v>49</v>
      </c>
      <c r="L82" s="4">
        <v>2</v>
      </c>
      <c r="M82" s="4">
        <v>310.23</v>
      </c>
      <c r="N82" s="4">
        <v>620.46</v>
      </c>
      <c r="O82" s="2" t="s">
        <v>43</v>
      </c>
      <c r="P82" t="str">
        <f>IF('Cleaned Data'!N82&gt;JOTTING!F95,"High Sales","Low Sales")</f>
        <v>High Sales</v>
      </c>
    </row>
    <row r="83" spans="2:16" ht="15" x14ac:dyDescent="0.25">
      <c r="B83" s="2" t="s">
        <v>131</v>
      </c>
      <c r="C83" s="2" t="s">
        <v>754</v>
      </c>
      <c r="D83" s="7">
        <v>2023</v>
      </c>
      <c r="E83" s="7" t="s">
        <v>763</v>
      </c>
      <c r="F83" s="3">
        <v>45287</v>
      </c>
      <c r="G83" s="4">
        <v>402</v>
      </c>
      <c r="H83" s="4">
        <v>5</v>
      </c>
      <c r="I83" s="4" t="str">
        <f t="shared" si="1"/>
        <v>Standard</v>
      </c>
      <c r="J83" s="2" t="s">
        <v>51</v>
      </c>
      <c r="K83" s="2" t="s">
        <v>39</v>
      </c>
      <c r="L83" s="4">
        <v>1</v>
      </c>
      <c r="M83" s="4">
        <v>116.13</v>
      </c>
      <c r="N83" s="4">
        <v>116.13</v>
      </c>
      <c r="O83" s="2" t="s">
        <v>43</v>
      </c>
      <c r="P83" t="str">
        <f>IF('Cleaned Data'!N83&gt;JOTTING!F96,"High Sales","Low Sales")</f>
        <v>High Sales</v>
      </c>
    </row>
    <row r="84" spans="2:16" ht="15" x14ac:dyDescent="0.25">
      <c r="B84" s="2" t="s">
        <v>132</v>
      </c>
      <c r="C84" s="2" t="s">
        <v>754</v>
      </c>
      <c r="D84" s="7">
        <v>2023</v>
      </c>
      <c r="E84" s="7" t="s">
        <v>762</v>
      </c>
      <c r="F84" s="3">
        <v>45112</v>
      </c>
      <c r="G84" s="4">
        <v>924</v>
      </c>
      <c r="H84" s="4">
        <v>6</v>
      </c>
      <c r="I84" s="4" t="str">
        <f t="shared" si="1"/>
        <v>Standard</v>
      </c>
      <c r="J84" s="2" t="s">
        <v>51</v>
      </c>
      <c r="K84" s="2" t="s">
        <v>25</v>
      </c>
      <c r="L84" s="4">
        <v>2</v>
      </c>
      <c r="M84" s="4">
        <v>415.01</v>
      </c>
      <c r="N84" s="4">
        <v>830.02</v>
      </c>
      <c r="O84" s="2" t="s">
        <v>43</v>
      </c>
      <c r="P84" t="str">
        <f>IF('Cleaned Data'!N84&gt;JOTTING!F97,"High Sales","Low Sales")</f>
        <v>High Sales</v>
      </c>
    </row>
    <row r="85" spans="2:16" ht="15" x14ac:dyDescent="0.25">
      <c r="B85" s="2" t="s">
        <v>133</v>
      </c>
      <c r="C85" s="2" t="s">
        <v>755</v>
      </c>
      <c r="D85" s="7">
        <v>2023</v>
      </c>
      <c r="E85" s="7" t="s">
        <v>766</v>
      </c>
      <c r="F85" s="3">
        <v>45199</v>
      </c>
      <c r="G85" s="4">
        <v>217</v>
      </c>
      <c r="H85" s="4">
        <v>9</v>
      </c>
      <c r="I85" s="4" t="str">
        <f t="shared" si="1"/>
        <v>Slow</v>
      </c>
      <c r="J85" s="2" t="s">
        <v>30</v>
      </c>
      <c r="K85" s="2" t="s">
        <v>39</v>
      </c>
      <c r="L85" s="4">
        <v>3</v>
      </c>
      <c r="M85" s="4">
        <v>336.18</v>
      </c>
      <c r="N85" s="4">
        <v>1008.54</v>
      </c>
      <c r="O85" s="2" t="s">
        <v>20</v>
      </c>
      <c r="P85" t="str">
        <f>IF('Cleaned Data'!N85&gt;JOTTING!F98,"High Sales","Low Sales")</f>
        <v>High Sales</v>
      </c>
    </row>
    <row r="86" spans="2:16" ht="15" x14ac:dyDescent="0.25">
      <c r="B86" s="2" t="s">
        <v>134</v>
      </c>
      <c r="C86" s="2" t="s">
        <v>756</v>
      </c>
      <c r="D86" s="7">
        <v>2023</v>
      </c>
      <c r="E86" s="7" t="s">
        <v>759</v>
      </c>
      <c r="F86" s="3">
        <v>45232</v>
      </c>
      <c r="G86" s="4">
        <v>912</v>
      </c>
      <c r="H86" s="4">
        <v>6</v>
      </c>
      <c r="I86" s="4" t="str">
        <f t="shared" si="1"/>
        <v>Standard</v>
      </c>
      <c r="J86" s="2" t="s">
        <v>18</v>
      </c>
      <c r="K86" s="2" t="s">
        <v>57</v>
      </c>
      <c r="L86" s="4">
        <v>4</v>
      </c>
      <c r="M86" s="4">
        <v>224.67</v>
      </c>
      <c r="N86" s="4">
        <v>898.68</v>
      </c>
      <c r="O86" s="2" t="s">
        <v>31</v>
      </c>
      <c r="P86" t="str">
        <f>IF('Cleaned Data'!N86&gt;JOTTING!F99,"High Sales","Low Sales")</f>
        <v>High Sales</v>
      </c>
    </row>
    <row r="87" spans="2:16" ht="15" x14ac:dyDescent="0.25">
      <c r="B87" s="2" t="s">
        <v>135</v>
      </c>
      <c r="C87" s="2" t="s">
        <v>753</v>
      </c>
      <c r="D87" s="7">
        <v>2023</v>
      </c>
      <c r="E87" s="7" t="s">
        <v>766</v>
      </c>
      <c r="F87" s="3">
        <v>45197</v>
      </c>
      <c r="G87" s="4">
        <v>260</v>
      </c>
      <c r="H87" s="4">
        <v>8</v>
      </c>
      <c r="I87" s="4" t="str">
        <f t="shared" si="1"/>
        <v>Slow</v>
      </c>
      <c r="J87" s="2" t="s">
        <v>18</v>
      </c>
      <c r="K87" s="2" t="s">
        <v>49</v>
      </c>
      <c r="L87" s="4">
        <v>2</v>
      </c>
      <c r="M87" s="4">
        <v>353.36</v>
      </c>
      <c r="N87" s="4">
        <v>706.72</v>
      </c>
      <c r="O87" s="2" t="s">
        <v>20</v>
      </c>
      <c r="P87" t="str">
        <f>IF('Cleaned Data'!N87&gt;JOTTING!F100,"High Sales","Low Sales")</f>
        <v>High Sales</v>
      </c>
    </row>
    <row r="88" spans="2:16" ht="15" x14ac:dyDescent="0.25">
      <c r="B88" s="2" t="s">
        <v>136</v>
      </c>
      <c r="C88" s="2" t="s">
        <v>754</v>
      </c>
      <c r="D88" s="7">
        <v>2023</v>
      </c>
      <c r="E88" s="7" t="s">
        <v>762</v>
      </c>
      <c r="F88" s="3">
        <v>45129</v>
      </c>
      <c r="G88" s="4">
        <v>500</v>
      </c>
      <c r="H88" s="4">
        <v>7</v>
      </c>
      <c r="I88" s="4" t="str">
        <f t="shared" si="1"/>
        <v>Slow</v>
      </c>
      <c r="J88" s="2" t="s">
        <v>30</v>
      </c>
      <c r="K88" s="2" t="s">
        <v>57</v>
      </c>
      <c r="L88" s="4">
        <v>4</v>
      </c>
      <c r="M88" s="4">
        <v>166.96</v>
      </c>
      <c r="N88" s="4">
        <v>667.84</v>
      </c>
      <c r="O88" s="2" t="s">
        <v>31</v>
      </c>
      <c r="P88" t="str">
        <f>IF('Cleaned Data'!N88&gt;JOTTING!F101,"High Sales","Low Sales")</f>
        <v>High Sales</v>
      </c>
    </row>
    <row r="89" spans="2:16" ht="15" x14ac:dyDescent="0.25">
      <c r="B89" s="2" t="s">
        <v>137</v>
      </c>
      <c r="C89" s="2" t="s">
        <v>756</v>
      </c>
      <c r="D89" s="7">
        <v>2023</v>
      </c>
      <c r="E89" s="7" t="s">
        <v>762</v>
      </c>
      <c r="F89" s="3">
        <v>45109</v>
      </c>
      <c r="G89" s="4">
        <v>297</v>
      </c>
      <c r="H89" s="4">
        <v>9</v>
      </c>
      <c r="I89" s="4" t="str">
        <f t="shared" si="1"/>
        <v>Slow</v>
      </c>
      <c r="J89" s="2" t="s">
        <v>63</v>
      </c>
      <c r="K89" s="2" t="s">
        <v>25</v>
      </c>
      <c r="L89" s="4">
        <v>2</v>
      </c>
      <c r="M89" s="4">
        <v>205.34</v>
      </c>
      <c r="N89" s="4">
        <v>410.68</v>
      </c>
      <c r="O89" s="2" t="s">
        <v>43</v>
      </c>
      <c r="P89" t="str">
        <f>IF('Cleaned Data'!N89&gt;JOTTING!F102,"High Sales","Low Sales")</f>
        <v>High Sales</v>
      </c>
    </row>
    <row r="90" spans="2:16" ht="15" x14ac:dyDescent="0.25">
      <c r="B90" s="2" t="s">
        <v>138</v>
      </c>
      <c r="C90" s="2" t="s">
        <v>756</v>
      </c>
      <c r="D90" s="7">
        <v>2023</v>
      </c>
      <c r="E90" s="7" t="s">
        <v>759</v>
      </c>
      <c r="F90" s="3">
        <v>45237</v>
      </c>
      <c r="G90" s="4">
        <v>359</v>
      </c>
      <c r="H90" s="4">
        <v>4</v>
      </c>
      <c r="I90" s="4" t="str">
        <f t="shared" si="1"/>
        <v>Standard</v>
      </c>
      <c r="J90" s="2" t="s">
        <v>55</v>
      </c>
      <c r="K90" s="2" t="s">
        <v>39</v>
      </c>
      <c r="L90" s="4">
        <v>1</v>
      </c>
      <c r="M90" s="4">
        <v>462.87</v>
      </c>
      <c r="N90" s="4">
        <v>462.87</v>
      </c>
      <c r="O90" s="2" t="s">
        <v>26</v>
      </c>
      <c r="P90" t="str">
        <f>IF('Cleaned Data'!N90&gt;JOTTING!F103,"High Sales","Low Sales")</f>
        <v>High Sales</v>
      </c>
    </row>
    <row r="91" spans="2:16" ht="15" x14ac:dyDescent="0.25">
      <c r="B91" s="2" t="s">
        <v>139</v>
      </c>
      <c r="C91" s="2" t="s">
        <v>756</v>
      </c>
      <c r="D91" s="7">
        <v>2023</v>
      </c>
      <c r="E91" s="7" t="s">
        <v>767</v>
      </c>
      <c r="F91" s="3">
        <v>45003</v>
      </c>
      <c r="G91" s="4">
        <v>759</v>
      </c>
      <c r="H91" s="4">
        <v>2</v>
      </c>
      <c r="I91" s="4" t="str">
        <f t="shared" si="1"/>
        <v>Early</v>
      </c>
      <c r="J91" s="2" t="s">
        <v>30</v>
      </c>
      <c r="K91" s="2" t="s">
        <v>57</v>
      </c>
      <c r="L91" s="4">
        <v>1</v>
      </c>
      <c r="M91" s="4">
        <v>180.73</v>
      </c>
      <c r="N91" s="4">
        <v>180.73</v>
      </c>
      <c r="O91" s="2" t="s">
        <v>43</v>
      </c>
      <c r="P91" t="str">
        <f>IF('Cleaned Data'!N91&gt;JOTTING!F104,"High Sales","Low Sales")</f>
        <v>High Sales</v>
      </c>
    </row>
    <row r="92" spans="2:16" ht="15" x14ac:dyDescent="0.25">
      <c r="B92" s="2" t="s">
        <v>140</v>
      </c>
      <c r="C92" s="2" t="s">
        <v>756</v>
      </c>
      <c r="D92" s="7">
        <v>2023</v>
      </c>
      <c r="E92" s="7" t="s">
        <v>763</v>
      </c>
      <c r="F92" s="3">
        <v>45287</v>
      </c>
      <c r="G92" s="4">
        <v>851</v>
      </c>
      <c r="H92" s="4">
        <v>7</v>
      </c>
      <c r="I92" s="4" t="str">
        <f t="shared" si="1"/>
        <v>Slow</v>
      </c>
      <c r="J92" s="2" t="s">
        <v>51</v>
      </c>
      <c r="K92" s="2" t="s">
        <v>25</v>
      </c>
      <c r="L92" s="4">
        <v>2</v>
      </c>
      <c r="M92" s="4">
        <v>261.49</v>
      </c>
      <c r="N92" s="4">
        <v>522.98</v>
      </c>
      <c r="O92" s="2" t="s">
        <v>31</v>
      </c>
      <c r="P92" t="str">
        <f>IF('Cleaned Data'!N92&gt;JOTTING!F105,"High Sales","Low Sales")</f>
        <v>High Sales</v>
      </c>
    </row>
    <row r="93" spans="2:16" ht="15" x14ac:dyDescent="0.25">
      <c r="B93" s="2" t="s">
        <v>141</v>
      </c>
      <c r="C93" s="2" t="s">
        <v>753</v>
      </c>
      <c r="D93" s="7">
        <v>2023</v>
      </c>
      <c r="E93" s="7" t="s">
        <v>766</v>
      </c>
      <c r="F93" s="3">
        <v>45192</v>
      </c>
      <c r="G93" s="4">
        <v>146</v>
      </c>
      <c r="H93" s="4">
        <v>6</v>
      </c>
      <c r="I93" s="4" t="str">
        <f t="shared" si="1"/>
        <v>Standard</v>
      </c>
      <c r="J93" s="2" t="s">
        <v>30</v>
      </c>
      <c r="K93" s="2" t="s">
        <v>57</v>
      </c>
      <c r="L93" s="4">
        <v>4</v>
      </c>
      <c r="M93" s="4">
        <v>450.56</v>
      </c>
      <c r="N93" s="4">
        <v>1802.24</v>
      </c>
      <c r="O93" s="2" t="s">
        <v>43</v>
      </c>
      <c r="P93" t="str">
        <f>IF('Cleaned Data'!N93&gt;JOTTING!F106,"High Sales","Low Sales")</f>
        <v>High Sales</v>
      </c>
    </row>
    <row r="94" spans="2:16" ht="15" x14ac:dyDescent="0.25">
      <c r="B94" s="2" t="s">
        <v>142</v>
      </c>
      <c r="C94" s="2" t="s">
        <v>755</v>
      </c>
      <c r="D94" s="7">
        <v>2023</v>
      </c>
      <c r="E94" s="7" t="s">
        <v>767</v>
      </c>
      <c r="F94" s="3">
        <v>45000</v>
      </c>
      <c r="G94" s="4">
        <v>498</v>
      </c>
      <c r="H94" s="4">
        <v>1</v>
      </c>
      <c r="I94" s="4" t="str">
        <f t="shared" si="1"/>
        <v>Early</v>
      </c>
      <c r="J94" s="2" t="s">
        <v>51</v>
      </c>
      <c r="K94" s="2" t="s">
        <v>39</v>
      </c>
      <c r="L94" s="4">
        <v>3</v>
      </c>
      <c r="M94" s="4">
        <v>368.47</v>
      </c>
      <c r="N94" s="4">
        <v>1105.4100000000001</v>
      </c>
      <c r="O94" s="2" t="s">
        <v>20</v>
      </c>
      <c r="P94" t="str">
        <f>IF('Cleaned Data'!N94&gt;JOTTING!F107,"High Sales","Low Sales")</f>
        <v>High Sales</v>
      </c>
    </row>
    <row r="95" spans="2:16" ht="15" x14ac:dyDescent="0.25">
      <c r="B95" s="2" t="s">
        <v>143</v>
      </c>
      <c r="C95" s="2" t="s">
        <v>755</v>
      </c>
      <c r="D95" s="7">
        <v>2023</v>
      </c>
      <c r="E95" s="7" t="s">
        <v>770</v>
      </c>
      <c r="F95" s="3">
        <v>45204</v>
      </c>
      <c r="G95" s="4">
        <v>809</v>
      </c>
      <c r="H95" s="4">
        <v>9</v>
      </c>
      <c r="I95" s="4" t="str">
        <f t="shared" si="1"/>
        <v>Slow</v>
      </c>
      <c r="J95" s="2" t="s">
        <v>18</v>
      </c>
      <c r="K95" s="2" t="s">
        <v>57</v>
      </c>
      <c r="L95" s="4">
        <v>3</v>
      </c>
      <c r="M95" s="4">
        <v>77.989999999999995</v>
      </c>
      <c r="N95" s="4">
        <v>233.97</v>
      </c>
      <c r="O95" s="2" t="s">
        <v>20</v>
      </c>
      <c r="P95" t="str">
        <f>IF('Cleaned Data'!N95&gt;JOTTING!F108,"High Sales","Low Sales")</f>
        <v>High Sales</v>
      </c>
    </row>
    <row r="96" spans="2:16" ht="15" x14ac:dyDescent="0.25">
      <c r="B96" s="2" t="s">
        <v>144</v>
      </c>
      <c r="C96" s="2" t="s">
        <v>754</v>
      </c>
      <c r="D96" s="7">
        <v>2023</v>
      </c>
      <c r="E96" s="7" t="s">
        <v>762</v>
      </c>
      <c r="F96" s="3">
        <v>45129</v>
      </c>
      <c r="G96" s="4">
        <v>658</v>
      </c>
      <c r="H96" s="4">
        <v>9</v>
      </c>
      <c r="I96" s="4" t="str">
        <f t="shared" si="1"/>
        <v>Slow</v>
      </c>
      <c r="J96" s="2" t="s">
        <v>30</v>
      </c>
      <c r="K96" s="2" t="s">
        <v>49</v>
      </c>
      <c r="L96" s="4">
        <v>1</v>
      </c>
      <c r="M96" s="4">
        <v>116.29</v>
      </c>
      <c r="N96" s="4">
        <v>116.29</v>
      </c>
      <c r="O96" s="2" t="s">
        <v>26</v>
      </c>
      <c r="P96" t="str">
        <f>IF('Cleaned Data'!N96&gt;JOTTING!F109,"High Sales","Low Sales")</f>
        <v>High Sales</v>
      </c>
    </row>
    <row r="97" spans="2:16" ht="15" x14ac:dyDescent="0.25">
      <c r="B97" s="2" t="s">
        <v>145</v>
      </c>
      <c r="C97" s="2" t="s">
        <v>754</v>
      </c>
      <c r="D97" s="7">
        <v>2023</v>
      </c>
      <c r="E97" s="7" t="s">
        <v>766</v>
      </c>
      <c r="F97" s="3">
        <v>45187</v>
      </c>
      <c r="G97" s="4">
        <v>177</v>
      </c>
      <c r="H97" s="4">
        <v>2</v>
      </c>
      <c r="I97" s="4" t="str">
        <f t="shared" si="1"/>
        <v>Early</v>
      </c>
      <c r="J97" s="2" t="s">
        <v>24</v>
      </c>
      <c r="K97" s="2" t="s">
        <v>49</v>
      </c>
      <c r="L97" s="4">
        <v>3</v>
      </c>
      <c r="M97" s="4">
        <v>53.53</v>
      </c>
      <c r="N97" s="4">
        <v>160.59</v>
      </c>
      <c r="O97" s="2" t="s">
        <v>43</v>
      </c>
      <c r="P97" t="str">
        <f>IF('Cleaned Data'!N97&gt;JOTTING!F110,"High Sales","Low Sales")</f>
        <v>High Sales</v>
      </c>
    </row>
    <row r="98" spans="2:16" ht="15" x14ac:dyDescent="0.25">
      <c r="B98" s="2" t="s">
        <v>146</v>
      </c>
      <c r="C98" s="2" t="s">
        <v>757</v>
      </c>
      <c r="D98" s="7">
        <v>2023</v>
      </c>
      <c r="E98" s="7" t="s">
        <v>770</v>
      </c>
      <c r="F98" s="3">
        <v>45210</v>
      </c>
      <c r="G98" s="4">
        <v>223</v>
      </c>
      <c r="H98" s="4">
        <v>3</v>
      </c>
      <c r="I98" s="4" t="str">
        <f t="shared" si="1"/>
        <v>Standard</v>
      </c>
      <c r="J98" s="2" t="s">
        <v>51</v>
      </c>
      <c r="K98" s="2" t="s">
        <v>57</v>
      </c>
      <c r="L98" s="4">
        <v>1</v>
      </c>
      <c r="M98" s="4">
        <v>333.91</v>
      </c>
      <c r="N98" s="4">
        <v>333.91</v>
      </c>
      <c r="O98" s="2" t="s">
        <v>31</v>
      </c>
      <c r="P98" t="str">
        <f>IF('Cleaned Data'!N98&gt;JOTTING!F111,"High Sales","Low Sales")</f>
        <v>High Sales</v>
      </c>
    </row>
    <row r="99" spans="2:16" ht="15" x14ac:dyDescent="0.25">
      <c r="B99" s="2" t="s">
        <v>147</v>
      </c>
      <c r="C99" s="2" t="s">
        <v>754</v>
      </c>
      <c r="D99" s="7">
        <v>2023</v>
      </c>
      <c r="E99" s="7" t="s">
        <v>764</v>
      </c>
      <c r="F99" s="3">
        <v>44963</v>
      </c>
      <c r="G99" s="4">
        <v>174</v>
      </c>
      <c r="H99" s="4">
        <v>5</v>
      </c>
      <c r="I99" s="4" t="str">
        <f t="shared" si="1"/>
        <v>Standard</v>
      </c>
      <c r="J99" s="2" t="s">
        <v>24</v>
      </c>
      <c r="K99" s="2" t="s">
        <v>57</v>
      </c>
      <c r="L99" s="4">
        <v>3</v>
      </c>
      <c r="M99" s="4">
        <v>251.45</v>
      </c>
      <c r="N99" s="4">
        <v>754.35</v>
      </c>
      <c r="O99" s="2" t="s">
        <v>31</v>
      </c>
      <c r="P99" t="str">
        <f>IF('Cleaned Data'!N99&gt;JOTTING!F112,"High Sales","Low Sales")</f>
        <v>High Sales</v>
      </c>
    </row>
    <row r="100" spans="2:16" ht="15" x14ac:dyDescent="0.25">
      <c r="B100" s="2" t="s">
        <v>148</v>
      </c>
      <c r="C100" s="2" t="s">
        <v>756</v>
      </c>
      <c r="D100" s="7">
        <v>2023</v>
      </c>
      <c r="E100" s="7" t="s">
        <v>762</v>
      </c>
      <c r="F100" s="3">
        <v>45116</v>
      </c>
      <c r="G100" s="4">
        <v>970</v>
      </c>
      <c r="H100" s="4">
        <v>5</v>
      </c>
      <c r="I100" s="4" t="str">
        <f t="shared" si="1"/>
        <v>Standard</v>
      </c>
      <c r="J100" s="2" t="s">
        <v>63</v>
      </c>
      <c r="K100" s="2" t="s">
        <v>57</v>
      </c>
      <c r="L100" s="4">
        <v>2</v>
      </c>
      <c r="M100" s="4">
        <v>110.42</v>
      </c>
      <c r="N100" s="4">
        <v>220.84</v>
      </c>
      <c r="O100" s="2" t="s">
        <v>43</v>
      </c>
      <c r="P100" t="str">
        <f>IF('Cleaned Data'!N100&gt;JOTTING!F113,"High Sales","Low Sales")</f>
        <v>High Sales</v>
      </c>
    </row>
    <row r="101" spans="2:16" ht="15" x14ac:dyDescent="0.25">
      <c r="B101" s="2" t="s">
        <v>149</v>
      </c>
      <c r="C101" s="2" t="s">
        <v>754</v>
      </c>
      <c r="D101" s="7">
        <v>2023</v>
      </c>
      <c r="E101" s="7" t="s">
        <v>763</v>
      </c>
      <c r="F101" s="3">
        <v>45268</v>
      </c>
      <c r="G101" s="4">
        <v>236</v>
      </c>
      <c r="H101" s="4">
        <v>1</v>
      </c>
      <c r="I101" s="4" t="str">
        <f t="shared" si="1"/>
        <v>Early</v>
      </c>
      <c r="J101" s="2" t="s">
        <v>42</v>
      </c>
      <c r="K101" s="2" t="s">
        <v>25</v>
      </c>
      <c r="L101" s="4">
        <v>1</v>
      </c>
      <c r="M101" s="4">
        <v>481.07</v>
      </c>
      <c r="N101" s="4">
        <v>481.07</v>
      </c>
      <c r="O101" s="2" t="s">
        <v>31</v>
      </c>
      <c r="P101" t="str">
        <f>IF('Cleaned Data'!N101&gt;JOTTING!F114,"High Sales","Low Sales")</f>
        <v>High Sales</v>
      </c>
    </row>
    <row r="102" spans="2:16" ht="15" x14ac:dyDescent="0.25">
      <c r="B102" s="2" t="s">
        <v>150</v>
      </c>
      <c r="C102" s="2" t="s">
        <v>754</v>
      </c>
      <c r="D102" s="7">
        <v>2023</v>
      </c>
      <c r="E102" s="7" t="s">
        <v>760</v>
      </c>
      <c r="F102" s="3">
        <v>45052</v>
      </c>
      <c r="G102" s="4">
        <v>701</v>
      </c>
      <c r="H102" s="4">
        <v>8</v>
      </c>
      <c r="I102" s="4" t="str">
        <f t="shared" si="1"/>
        <v>Slow</v>
      </c>
      <c r="J102" s="2" t="s">
        <v>30</v>
      </c>
      <c r="K102" s="2" t="s">
        <v>49</v>
      </c>
      <c r="L102" s="4">
        <v>1</v>
      </c>
      <c r="M102" s="4">
        <v>288.35000000000002</v>
      </c>
      <c r="N102" s="4">
        <v>288.35000000000002</v>
      </c>
      <c r="O102" s="2" t="s">
        <v>31</v>
      </c>
      <c r="P102" t="str">
        <f>IF('Cleaned Data'!N102&gt;JOTTING!F115,"High Sales","Low Sales")</f>
        <v>High Sales</v>
      </c>
    </row>
    <row r="103" spans="2:16" ht="15" x14ac:dyDescent="0.25">
      <c r="B103" s="2" t="s">
        <v>151</v>
      </c>
      <c r="C103" s="2" t="s">
        <v>754</v>
      </c>
      <c r="D103" s="7">
        <v>2023</v>
      </c>
      <c r="E103" s="7" t="s">
        <v>768</v>
      </c>
      <c r="F103" s="3">
        <v>45151</v>
      </c>
      <c r="G103" s="4">
        <v>499</v>
      </c>
      <c r="H103" s="4">
        <v>8</v>
      </c>
      <c r="I103" s="4" t="str">
        <f t="shared" si="1"/>
        <v>Slow</v>
      </c>
      <c r="J103" s="2" t="s">
        <v>63</v>
      </c>
      <c r="K103" s="2" t="s">
        <v>57</v>
      </c>
      <c r="L103" s="4">
        <v>2</v>
      </c>
      <c r="M103" s="4">
        <v>158.85</v>
      </c>
      <c r="N103" s="4">
        <v>317.7</v>
      </c>
      <c r="O103" s="2" t="s">
        <v>31</v>
      </c>
      <c r="P103" t="str">
        <f>IF('Cleaned Data'!N103&gt;JOTTING!F116,"High Sales","Low Sales")</f>
        <v>High Sales</v>
      </c>
    </row>
    <row r="104" spans="2:16" ht="15" x14ac:dyDescent="0.25">
      <c r="B104" s="2" t="s">
        <v>152</v>
      </c>
      <c r="C104" s="2" t="s">
        <v>757</v>
      </c>
      <c r="D104" s="7">
        <v>2023</v>
      </c>
      <c r="E104" s="7" t="s">
        <v>760</v>
      </c>
      <c r="F104" s="3">
        <v>45065</v>
      </c>
      <c r="G104" s="4">
        <v>936</v>
      </c>
      <c r="H104" s="4">
        <v>4</v>
      </c>
      <c r="I104" s="4" t="str">
        <f t="shared" si="1"/>
        <v>Standard</v>
      </c>
      <c r="J104" s="2" t="s">
        <v>42</v>
      </c>
      <c r="K104" s="2" t="s">
        <v>19</v>
      </c>
      <c r="L104" s="4">
        <v>1</v>
      </c>
      <c r="M104" s="4">
        <v>275.27</v>
      </c>
      <c r="N104" s="4">
        <v>275.27</v>
      </c>
      <c r="O104" s="2" t="s">
        <v>43</v>
      </c>
      <c r="P104" t="str">
        <f>IF('Cleaned Data'!N104&gt;JOTTING!F117,"High Sales","Low Sales")</f>
        <v>High Sales</v>
      </c>
    </row>
    <row r="105" spans="2:16" ht="15" x14ac:dyDescent="0.25">
      <c r="B105" s="2" t="s">
        <v>153</v>
      </c>
      <c r="C105" s="2" t="s">
        <v>757</v>
      </c>
      <c r="D105" s="7">
        <v>2023</v>
      </c>
      <c r="E105" s="7" t="s">
        <v>765</v>
      </c>
      <c r="F105" s="3">
        <v>45099</v>
      </c>
      <c r="G105" s="4">
        <v>604</v>
      </c>
      <c r="H105" s="4">
        <v>7</v>
      </c>
      <c r="I105" s="4" t="str">
        <f t="shared" si="1"/>
        <v>Slow</v>
      </c>
      <c r="J105" s="2" t="s">
        <v>18</v>
      </c>
      <c r="K105" s="2" t="s">
        <v>25</v>
      </c>
      <c r="L105" s="4">
        <v>3</v>
      </c>
      <c r="M105" s="4">
        <v>355.83</v>
      </c>
      <c r="N105" s="4">
        <v>1067.49</v>
      </c>
      <c r="O105" s="2" t="s">
        <v>31</v>
      </c>
      <c r="P105" t="str">
        <f>IF('Cleaned Data'!N105&gt;JOTTING!F118,"High Sales","Low Sales")</f>
        <v>High Sales</v>
      </c>
    </row>
    <row r="106" spans="2:16" ht="15" x14ac:dyDescent="0.25">
      <c r="B106" s="2" t="s">
        <v>154</v>
      </c>
      <c r="C106" s="2" t="s">
        <v>753</v>
      </c>
      <c r="D106" s="7">
        <v>2023</v>
      </c>
      <c r="E106" s="7" t="s">
        <v>762</v>
      </c>
      <c r="F106" s="3">
        <v>45130</v>
      </c>
      <c r="G106" s="4">
        <v>599</v>
      </c>
      <c r="H106" s="4">
        <v>3</v>
      </c>
      <c r="I106" s="4" t="str">
        <f t="shared" si="1"/>
        <v>Standard</v>
      </c>
      <c r="J106" s="2" t="s">
        <v>63</v>
      </c>
      <c r="K106" s="2" t="s">
        <v>25</v>
      </c>
      <c r="L106" s="4">
        <v>3</v>
      </c>
      <c r="M106" s="4">
        <v>84.31</v>
      </c>
      <c r="N106" s="4">
        <v>252.93</v>
      </c>
      <c r="O106" s="2" t="s">
        <v>20</v>
      </c>
      <c r="P106" t="str">
        <f>IF('Cleaned Data'!N106&gt;JOTTING!F119,"High Sales","Low Sales")</f>
        <v>High Sales</v>
      </c>
    </row>
    <row r="107" spans="2:16" ht="15" x14ac:dyDescent="0.25">
      <c r="B107" s="2" t="s">
        <v>155</v>
      </c>
      <c r="C107" s="2" t="s">
        <v>756</v>
      </c>
      <c r="D107" s="7">
        <v>2023</v>
      </c>
      <c r="E107" s="7" t="s">
        <v>762</v>
      </c>
      <c r="F107" s="3">
        <v>45133</v>
      </c>
      <c r="G107" s="4">
        <v>672</v>
      </c>
      <c r="H107" s="4">
        <v>6</v>
      </c>
      <c r="I107" s="4" t="str">
        <f t="shared" si="1"/>
        <v>Standard</v>
      </c>
      <c r="J107" s="2" t="s">
        <v>51</v>
      </c>
      <c r="K107" s="2" t="s">
        <v>19</v>
      </c>
      <c r="L107" s="4">
        <v>1</v>
      </c>
      <c r="M107" s="4">
        <v>173.62</v>
      </c>
      <c r="N107" s="4">
        <v>173.62</v>
      </c>
      <c r="O107" s="2" t="s">
        <v>26</v>
      </c>
      <c r="P107" t="str">
        <f>IF('Cleaned Data'!N107&gt;JOTTING!F120,"High Sales","Low Sales")</f>
        <v>High Sales</v>
      </c>
    </row>
    <row r="108" spans="2:16" ht="15" x14ac:dyDescent="0.25">
      <c r="B108" s="2" t="s">
        <v>156</v>
      </c>
      <c r="C108" s="2" t="s">
        <v>756</v>
      </c>
      <c r="D108" s="7">
        <v>2023</v>
      </c>
      <c r="E108" s="7" t="s">
        <v>767</v>
      </c>
      <c r="F108" s="3">
        <v>45009</v>
      </c>
      <c r="G108" s="4">
        <v>237</v>
      </c>
      <c r="H108" s="4">
        <v>9</v>
      </c>
      <c r="I108" s="4" t="str">
        <f t="shared" si="1"/>
        <v>Slow</v>
      </c>
      <c r="J108" s="2" t="s">
        <v>42</v>
      </c>
      <c r="K108" s="2" t="s">
        <v>57</v>
      </c>
      <c r="L108" s="4">
        <v>3</v>
      </c>
      <c r="M108" s="4">
        <v>413.13</v>
      </c>
      <c r="N108" s="4">
        <v>1239.3900000000001</v>
      </c>
      <c r="O108" s="2" t="s">
        <v>31</v>
      </c>
      <c r="P108" t="str">
        <f>IF('Cleaned Data'!N108&gt;JOTTING!F121,"High Sales","Low Sales")</f>
        <v>High Sales</v>
      </c>
    </row>
    <row r="109" spans="2:16" ht="15" x14ac:dyDescent="0.25">
      <c r="B109" s="2" t="s">
        <v>157</v>
      </c>
      <c r="C109" s="2" t="s">
        <v>757</v>
      </c>
      <c r="D109" s="7">
        <v>2023</v>
      </c>
      <c r="E109" s="7" t="s">
        <v>766</v>
      </c>
      <c r="F109" s="3">
        <v>45177</v>
      </c>
      <c r="G109" s="4">
        <v>149</v>
      </c>
      <c r="H109" s="4">
        <v>1</v>
      </c>
      <c r="I109" s="4" t="str">
        <f t="shared" si="1"/>
        <v>Early</v>
      </c>
      <c r="J109" s="2" t="s">
        <v>42</v>
      </c>
      <c r="K109" s="2" t="s">
        <v>49</v>
      </c>
      <c r="L109" s="4">
        <v>4</v>
      </c>
      <c r="M109" s="4">
        <v>256.85000000000002</v>
      </c>
      <c r="N109" s="4">
        <v>1027.4000000000001</v>
      </c>
      <c r="O109" s="2" t="s">
        <v>20</v>
      </c>
      <c r="P109" t="str">
        <f>IF('Cleaned Data'!N109&gt;JOTTING!F122,"High Sales","Low Sales")</f>
        <v>High Sales</v>
      </c>
    </row>
    <row r="110" spans="2:16" ht="15" x14ac:dyDescent="0.25">
      <c r="B110" s="2" t="s">
        <v>158</v>
      </c>
      <c r="C110" s="2" t="s">
        <v>756</v>
      </c>
      <c r="D110" s="7">
        <v>2023</v>
      </c>
      <c r="E110" s="7" t="s">
        <v>764</v>
      </c>
      <c r="F110" s="3">
        <v>44964</v>
      </c>
      <c r="G110" s="4">
        <v>870</v>
      </c>
      <c r="H110" s="4">
        <v>5</v>
      </c>
      <c r="I110" s="4" t="str">
        <f t="shared" si="1"/>
        <v>Standard</v>
      </c>
      <c r="J110" s="2" t="s">
        <v>55</v>
      </c>
      <c r="K110" s="2" t="s">
        <v>39</v>
      </c>
      <c r="L110" s="4">
        <v>1</v>
      </c>
      <c r="M110" s="4">
        <v>295.95999999999998</v>
      </c>
      <c r="N110" s="4">
        <v>295.95999999999998</v>
      </c>
      <c r="O110" s="2" t="s">
        <v>26</v>
      </c>
      <c r="P110" t="str">
        <f>IF('Cleaned Data'!N110&gt;JOTTING!F123,"High Sales","Low Sales")</f>
        <v>High Sales</v>
      </c>
    </row>
    <row r="111" spans="2:16" ht="15" x14ac:dyDescent="0.25">
      <c r="B111" s="2" t="s">
        <v>159</v>
      </c>
      <c r="C111" s="2" t="s">
        <v>757</v>
      </c>
      <c r="D111" s="7">
        <v>2023</v>
      </c>
      <c r="E111" s="7" t="s">
        <v>764</v>
      </c>
      <c r="F111" s="3">
        <v>44981</v>
      </c>
      <c r="G111" s="4">
        <v>718</v>
      </c>
      <c r="H111" s="4">
        <v>4</v>
      </c>
      <c r="I111" s="4" t="str">
        <f t="shared" si="1"/>
        <v>Standard</v>
      </c>
      <c r="J111" s="2" t="s">
        <v>42</v>
      </c>
      <c r="K111" s="2" t="s">
        <v>49</v>
      </c>
      <c r="L111" s="4">
        <v>2</v>
      </c>
      <c r="M111" s="4">
        <v>244.77</v>
      </c>
      <c r="N111" s="4">
        <v>489.54</v>
      </c>
      <c r="O111" s="2" t="s">
        <v>43</v>
      </c>
      <c r="P111" t="str">
        <f>IF('Cleaned Data'!N111&gt;JOTTING!F124,"High Sales","Low Sales")</f>
        <v>High Sales</v>
      </c>
    </row>
    <row r="112" spans="2:16" ht="15" x14ac:dyDescent="0.25">
      <c r="B112" s="2" t="s">
        <v>160</v>
      </c>
      <c r="C112" s="2" t="s">
        <v>755</v>
      </c>
      <c r="D112" s="7">
        <v>2023</v>
      </c>
      <c r="E112" s="7" t="s">
        <v>761</v>
      </c>
      <c r="F112" s="3">
        <v>44935</v>
      </c>
      <c r="G112" s="4">
        <v>724</v>
      </c>
      <c r="H112" s="4">
        <v>8</v>
      </c>
      <c r="I112" s="4" t="str">
        <f t="shared" si="1"/>
        <v>Slow</v>
      </c>
      <c r="J112" s="2" t="s">
        <v>24</v>
      </c>
      <c r="K112" s="2" t="s">
        <v>19</v>
      </c>
      <c r="L112" s="4">
        <v>4</v>
      </c>
      <c r="M112" s="4">
        <v>69.75</v>
      </c>
      <c r="N112" s="4">
        <v>279</v>
      </c>
      <c r="O112" s="2" t="s">
        <v>31</v>
      </c>
      <c r="P112" t="str">
        <f>IF('Cleaned Data'!N112&gt;JOTTING!F125,"High Sales","Low Sales")</f>
        <v>High Sales</v>
      </c>
    </row>
    <row r="113" spans="2:16" ht="15" x14ac:dyDescent="0.25">
      <c r="B113" s="2" t="s">
        <v>161</v>
      </c>
      <c r="C113" s="2" t="s">
        <v>757</v>
      </c>
      <c r="D113" s="7">
        <v>2023</v>
      </c>
      <c r="E113" s="7" t="s">
        <v>764</v>
      </c>
      <c r="F113" s="3">
        <v>44970</v>
      </c>
      <c r="G113" s="4">
        <v>961</v>
      </c>
      <c r="H113" s="4">
        <v>1</v>
      </c>
      <c r="I113" s="4" t="str">
        <f t="shared" si="1"/>
        <v>Early</v>
      </c>
      <c r="J113" s="2" t="s">
        <v>24</v>
      </c>
      <c r="K113" s="2" t="s">
        <v>19</v>
      </c>
      <c r="L113" s="4">
        <v>1</v>
      </c>
      <c r="M113" s="4">
        <v>124.59</v>
      </c>
      <c r="N113" s="4">
        <v>124.59</v>
      </c>
      <c r="O113" s="2" t="s">
        <v>26</v>
      </c>
      <c r="P113" t="str">
        <f>IF('Cleaned Data'!N113&gt;JOTTING!F126,"High Sales","Low Sales")</f>
        <v>High Sales</v>
      </c>
    </row>
    <row r="114" spans="2:16" ht="15" x14ac:dyDescent="0.25">
      <c r="B114" s="2" t="s">
        <v>162</v>
      </c>
      <c r="C114" s="2" t="s">
        <v>757</v>
      </c>
      <c r="D114" s="7">
        <v>2023</v>
      </c>
      <c r="E114" s="7" t="s">
        <v>762</v>
      </c>
      <c r="F114" s="3">
        <v>45108</v>
      </c>
      <c r="G114" s="4">
        <v>353</v>
      </c>
      <c r="H114" s="4">
        <v>9</v>
      </c>
      <c r="I114" s="4" t="str">
        <f t="shared" si="1"/>
        <v>Slow</v>
      </c>
      <c r="J114" s="2" t="s">
        <v>30</v>
      </c>
      <c r="K114" s="2" t="s">
        <v>19</v>
      </c>
      <c r="L114" s="4">
        <v>2</v>
      </c>
      <c r="M114" s="4">
        <v>250.49</v>
      </c>
      <c r="N114" s="4">
        <v>500.98</v>
      </c>
      <c r="O114" s="2" t="s">
        <v>20</v>
      </c>
      <c r="P114" t="str">
        <f>IF('Cleaned Data'!N114&gt;JOTTING!F127,"High Sales","Low Sales")</f>
        <v>High Sales</v>
      </c>
    </row>
    <row r="115" spans="2:16" ht="15" x14ac:dyDescent="0.25">
      <c r="B115" s="2" t="s">
        <v>163</v>
      </c>
      <c r="C115" s="2" t="s">
        <v>756</v>
      </c>
      <c r="D115" s="7">
        <v>2023</v>
      </c>
      <c r="E115" s="7" t="s">
        <v>768</v>
      </c>
      <c r="F115" s="3">
        <v>45154</v>
      </c>
      <c r="G115" s="4">
        <v>729</v>
      </c>
      <c r="H115" s="4">
        <v>6</v>
      </c>
      <c r="I115" s="4" t="str">
        <f t="shared" si="1"/>
        <v>Standard</v>
      </c>
      <c r="J115" s="2" t="s">
        <v>51</v>
      </c>
      <c r="K115" s="2" t="s">
        <v>25</v>
      </c>
      <c r="L115" s="4">
        <v>3</v>
      </c>
      <c r="M115" s="4">
        <v>144.13</v>
      </c>
      <c r="N115" s="4">
        <v>432.39</v>
      </c>
      <c r="O115" s="2" t="s">
        <v>26</v>
      </c>
      <c r="P115" t="str">
        <f>IF('Cleaned Data'!N115&gt;JOTTING!F128,"High Sales","Low Sales")</f>
        <v>High Sales</v>
      </c>
    </row>
    <row r="116" spans="2:16" ht="15" x14ac:dyDescent="0.25">
      <c r="B116" s="2" t="s">
        <v>164</v>
      </c>
      <c r="C116" s="2" t="s">
        <v>757</v>
      </c>
      <c r="D116" s="7">
        <v>2023</v>
      </c>
      <c r="E116" s="7" t="s">
        <v>770</v>
      </c>
      <c r="F116" s="3">
        <v>45220</v>
      </c>
      <c r="G116" s="4">
        <v>809</v>
      </c>
      <c r="H116" s="4">
        <v>4</v>
      </c>
      <c r="I116" s="4" t="str">
        <f t="shared" si="1"/>
        <v>Standard</v>
      </c>
      <c r="J116" s="2" t="s">
        <v>30</v>
      </c>
      <c r="K116" s="2" t="s">
        <v>25</v>
      </c>
      <c r="L116" s="4">
        <v>2</v>
      </c>
      <c r="M116" s="4">
        <v>72.489999999999995</v>
      </c>
      <c r="N116" s="4">
        <v>144.97999999999999</v>
      </c>
      <c r="O116" s="2" t="s">
        <v>26</v>
      </c>
      <c r="P116" t="str">
        <f>IF('Cleaned Data'!N116&gt;JOTTING!F129,"High Sales","Low Sales")</f>
        <v>High Sales</v>
      </c>
    </row>
    <row r="117" spans="2:16" ht="15" x14ac:dyDescent="0.25">
      <c r="B117" s="2" t="s">
        <v>165</v>
      </c>
      <c r="C117" s="2" t="s">
        <v>755</v>
      </c>
      <c r="D117" s="7">
        <v>2023</v>
      </c>
      <c r="E117" s="7" t="s">
        <v>764</v>
      </c>
      <c r="F117" s="3">
        <v>44974</v>
      </c>
      <c r="G117" s="4">
        <v>948</v>
      </c>
      <c r="H117" s="4">
        <v>9</v>
      </c>
      <c r="I117" s="4" t="str">
        <f t="shared" si="1"/>
        <v>Slow</v>
      </c>
      <c r="J117" s="2" t="s">
        <v>42</v>
      </c>
      <c r="K117" s="2" t="s">
        <v>39</v>
      </c>
      <c r="L117" s="4">
        <v>4</v>
      </c>
      <c r="M117" s="4">
        <v>429.64</v>
      </c>
      <c r="N117" s="4">
        <v>1718.56</v>
      </c>
      <c r="O117" s="2" t="s">
        <v>43</v>
      </c>
      <c r="P117" t="str">
        <f>IF('Cleaned Data'!N117&gt;JOTTING!F130,"High Sales","Low Sales")</f>
        <v>High Sales</v>
      </c>
    </row>
    <row r="118" spans="2:16" ht="15" x14ac:dyDescent="0.25">
      <c r="B118" s="2" t="s">
        <v>166</v>
      </c>
      <c r="C118" s="2" t="s">
        <v>756</v>
      </c>
      <c r="D118" s="7">
        <v>2023</v>
      </c>
      <c r="E118" s="7" t="s">
        <v>759</v>
      </c>
      <c r="F118" s="3">
        <v>45242</v>
      </c>
      <c r="G118" s="4">
        <v>976</v>
      </c>
      <c r="H118" s="4">
        <v>5</v>
      </c>
      <c r="I118" s="4" t="str">
        <f t="shared" si="1"/>
        <v>Standard</v>
      </c>
      <c r="J118" s="2" t="s">
        <v>63</v>
      </c>
      <c r="K118" s="2" t="s">
        <v>25</v>
      </c>
      <c r="L118" s="4">
        <v>3</v>
      </c>
      <c r="M118" s="4">
        <v>491.54</v>
      </c>
      <c r="N118" s="4">
        <v>1474.62</v>
      </c>
      <c r="O118" s="2" t="s">
        <v>43</v>
      </c>
      <c r="P118" t="str">
        <f>IF('Cleaned Data'!N118&gt;JOTTING!F131,"High Sales","Low Sales")</f>
        <v>High Sales</v>
      </c>
    </row>
    <row r="119" spans="2:16" ht="15" x14ac:dyDescent="0.25">
      <c r="B119" s="2" t="s">
        <v>167</v>
      </c>
      <c r="C119" s="2" t="s">
        <v>754</v>
      </c>
      <c r="D119" s="7">
        <v>2023</v>
      </c>
      <c r="E119" s="7" t="s">
        <v>770</v>
      </c>
      <c r="F119" s="3">
        <v>45204</v>
      </c>
      <c r="G119" s="4">
        <v>662</v>
      </c>
      <c r="H119" s="4">
        <v>5</v>
      </c>
      <c r="I119" s="4" t="str">
        <f t="shared" si="1"/>
        <v>Standard</v>
      </c>
      <c r="J119" s="2" t="s">
        <v>18</v>
      </c>
      <c r="K119" s="2" t="s">
        <v>49</v>
      </c>
      <c r="L119" s="4">
        <v>1</v>
      </c>
      <c r="M119" s="4">
        <v>406.91</v>
      </c>
      <c r="N119" s="4">
        <v>406.91</v>
      </c>
      <c r="O119" s="2" t="s">
        <v>43</v>
      </c>
      <c r="P119" t="str">
        <f>IF('Cleaned Data'!N119&gt;JOTTING!F132,"High Sales","Low Sales")</f>
        <v>High Sales</v>
      </c>
    </row>
    <row r="120" spans="2:16" ht="15" x14ac:dyDescent="0.25">
      <c r="B120" s="2" t="s">
        <v>168</v>
      </c>
      <c r="C120" s="2" t="s">
        <v>755</v>
      </c>
      <c r="D120" s="7">
        <v>2023</v>
      </c>
      <c r="E120" s="7" t="s">
        <v>765</v>
      </c>
      <c r="F120" s="3">
        <v>45081</v>
      </c>
      <c r="G120" s="4">
        <v>856</v>
      </c>
      <c r="H120" s="4">
        <v>5</v>
      </c>
      <c r="I120" s="4" t="str">
        <f t="shared" si="1"/>
        <v>Standard</v>
      </c>
      <c r="J120" s="2" t="s">
        <v>63</v>
      </c>
      <c r="K120" s="2" t="s">
        <v>49</v>
      </c>
      <c r="L120" s="4">
        <v>3</v>
      </c>
      <c r="M120" s="4">
        <v>434.2</v>
      </c>
      <c r="N120" s="4">
        <v>1302.5999999999999</v>
      </c>
      <c r="O120" s="2" t="s">
        <v>43</v>
      </c>
      <c r="P120" t="str">
        <f>IF('Cleaned Data'!N120&gt;JOTTING!F133,"High Sales","Low Sales")</f>
        <v>High Sales</v>
      </c>
    </row>
    <row r="121" spans="2:16" ht="15" x14ac:dyDescent="0.25">
      <c r="B121" s="2" t="s">
        <v>169</v>
      </c>
      <c r="C121" s="2" t="s">
        <v>756</v>
      </c>
      <c r="D121" s="7">
        <v>2023</v>
      </c>
      <c r="E121" s="7" t="s">
        <v>763</v>
      </c>
      <c r="F121" s="3">
        <v>45268</v>
      </c>
      <c r="G121" s="4">
        <v>525</v>
      </c>
      <c r="H121" s="4">
        <v>1</v>
      </c>
      <c r="I121" s="4" t="str">
        <f t="shared" si="1"/>
        <v>Early</v>
      </c>
      <c r="J121" s="2" t="s">
        <v>42</v>
      </c>
      <c r="K121" s="2" t="s">
        <v>19</v>
      </c>
      <c r="L121" s="4">
        <v>1</v>
      </c>
      <c r="M121" s="4">
        <v>158.88999999999999</v>
      </c>
      <c r="N121" s="4">
        <v>158.88999999999999</v>
      </c>
      <c r="O121" s="2" t="s">
        <v>20</v>
      </c>
      <c r="P121" t="str">
        <f>IF('Cleaned Data'!N121&gt;JOTTING!F134,"High Sales","Low Sales")</f>
        <v>High Sales</v>
      </c>
    </row>
    <row r="122" spans="2:16" ht="15" x14ac:dyDescent="0.25">
      <c r="B122" s="2" t="s">
        <v>170</v>
      </c>
      <c r="C122" s="2" t="s">
        <v>755</v>
      </c>
      <c r="D122" s="7">
        <v>2023</v>
      </c>
      <c r="E122" s="7" t="s">
        <v>763</v>
      </c>
      <c r="F122" s="3">
        <v>45289</v>
      </c>
      <c r="G122" s="4">
        <v>646</v>
      </c>
      <c r="H122" s="4">
        <v>1</v>
      </c>
      <c r="I122" s="4" t="str">
        <f t="shared" si="1"/>
        <v>Early</v>
      </c>
      <c r="J122" s="2" t="s">
        <v>42</v>
      </c>
      <c r="K122" s="2" t="s">
        <v>19</v>
      </c>
      <c r="L122" s="4">
        <v>1</v>
      </c>
      <c r="M122" s="4">
        <v>482.28</v>
      </c>
      <c r="N122" s="4">
        <v>482.28</v>
      </c>
      <c r="O122" s="2" t="s">
        <v>26</v>
      </c>
      <c r="P122" t="str">
        <f>IF('Cleaned Data'!N122&gt;JOTTING!F135,"High Sales","Low Sales")</f>
        <v>High Sales</v>
      </c>
    </row>
    <row r="123" spans="2:16" ht="15" x14ac:dyDescent="0.25">
      <c r="B123" s="2" t="s">
        <v>171</v>
      </c>
      <c r="C123" s="2" t="s">
        <v>756</v>
      </c>
      <c r="D123" s="7">
        <v>2023</v>
      </c>
      <c r="E123" s="7" t="s">
        <v>767</v>
      </c>
      <c r="F123" s="3">
        <v>45009</v>
      </c>
      <c r="G123" s="4">
        <v>401</v>
      </c>
      <c r="H123" s="4">
        <v>8</v>
      </c>
      <c r="I123" s="4" t="str">
        <f t="shared" si="1"/>
        <v>Slow</v>
      </c>
      <c r="J123" s="2" t="s">
        <v>42</v>
      </c>
      <c r="K123" s="2" t="s">
        <v>19</v>
      </c>
      <c r="L123" s="4">
        <v>2</v>
      </c>
      <c r="M123" s="4">
        <v>138.62</v>
      </c>
      <c r="N123" s="4">
        <v>277.24</v>
      </c>
      <c r="O123" s="2" t="s">
        <v>20</v>
      </c>
      <c r="P123" t="str">
        <f>IF('Cleaned Data'!N123&gt;JOTTING!F136,"High Sales","Low Sales")</f>
        <v>High Sales</v>
      </c>
    </row>
    <row r="124" spans="2:16" ht="15" x14ac:dyDescent="0.25">
      <c r="B124" s="2" t="s">
        <v>172</v>
      </c>
      <c r="C124" s="2" t="s">
        <v>753</v>
      </c>
      <c r="D124" s="7">
        <v>2023</v>
      </c>
      <c r="E124" s="7" t="s">
        <v>760</v>
      </c>
      <c r="F124" s="3">
        <v>45073</v>
      </c>
      <c r="G124" s="4">
        <v>680</v>
      </c>
      <c r="H124" s="4">
        <v>8</v>
      </c>
      <c r="I124" s="4" t="str">
        <f t="shared" si="1"/>
        <v>Slow</v>
      </c>
      <c r="J124" s="2" t="s">
        <v>30</v>
      </c>
      <c r="K124" s="2" t="s">
        <v>49</v>
      </c>
      <c r="L124" s="4">
        <v>2</v>
      </c>
      <c r="M124" s="4">
        <v>478.14</v>
      </c>
      <c r="N124" s="4">
        <v>956.28</v>
      </c>
      <c r="O124" s="2" t="s">
        <v>31</v>
      </c>
      <c r="P124" t="str">
        <f>IF('Cleaned Data'!N124&gt;JOTTING!F137,"High Sales","Low Sales")</f>
        <v>High Sales</v>
      </c>
    </row>
    <row r="125" spans="2:16" ht="15" x14ac:dyDescent="0.25">
      <c r="B125" s="2" t="s">
        <v>173</v>
      </c>
      <c r="C125" s="2" t="s">
        <v>753</v>
      </c>
      <c r="D125" s="7">
        <v>2023</v>
      </c>
      <c r="E125" s="7" t="s">
        <v>763</v>
      </c>
      <c r="F125" s="3">
        <v>45271</v>
      </c>
      <c r="G125" s="4">
        <v>448</v>
      </c>
      <c r="H125" s="4">
        <v>6</v>
      </c>
      <c r="I125" s="4" t="str">
        <f t="shared" si="1"/>
        <v>Standard</v>
      </c>
      <c r="J125" s="2" t="s">
        <v>24</v>
      </c>
      <c r="K125" s="2" t="s">
        <v>57</v>
      </c>
      <c r="L125" s="4">
        <v>2</v>
      </c>
      <c r="M125" s="4">
        <v>497.67</v>
      </c>
      <c r="N125" s="4">
        <v>995.34</v>
      </c>
      <c r="O125" s="2" t="s">
        <v>31</v>
      </c>
      <c r="P125" t="str">
        <f>IF('Cleaned Data'!N125&gt;JOTTING!F138,"High Sales","Low Sales")</f>
        <v>High Sales</v>
      </c>
    </row>
    <row r="126" spans="2:16" ht="15" x14ac:dyDescent="0.25">
      <c r="B126" s="2" t="s">
        <v>174</v>
      </c>
      <c r="C126" s="2" t="s">
        <v>753</v>
      </c>
      <c r="D126" s="7">
        <v>2023</v>
      </c>
      <c r="E126" s="7" t="s">
        <v>766</v>
      </c>
      <c r="F126" s="3">
        <v>45194</v>
      </c>
      <c r="G126" s="4">
        <v>931</v>
      </c>
      <c r="H126" s="4">
        <v>4</v>
      </c>
      <c r="I126" s="4" t="str">
        <f t="shared" si="1"/>
        <v>Standard</v>
      </c>
      <c r="J126" s="2" t="s">
        <v>24</v>
      </c>
      <c r="K126" s="2" t="s">
        <v>39</v>
      </c>
      <c r="L126" s="4">
        <v>4</v>
      </c>
      <c r="M126" s="4">
        <v>370.28</v>
      </c>
      <c r="N126" s="4">
        <v>1481.12</v>
      </c>
      <c r="O126" s="2" t="s">
        <v>20</v>
      </c>
      <c r="P126" t="str">
        <f>IF('Cleaned Data'!N126&gt;JOTTING!F139,"High Sales","Low Sales")</f>
        <v>High Sales</v>
      </c>
    </row>
    <row r="127" spans="2:16" ht="15" x14ac:dyDescent="0.25">
      <c r="B127" s="2" t="s">
        <v>175</v>
      </c>
      <c r="C127" s="2" t="s">
        <v>754</v>
      </c>
      <c r="D127" s="7">
        <v>2023</v>
      </c>
      <c r="E127" s="7" t="s">
        <v>761</v>
      </c>
      <c r="F127" s="3">
        <v>44946</v>
      </c>
      <c r="G127" s="4">
        <v>148</v>
      </c>
      <c r="H127" s="4">
        <v>2</v>
      </c>
      <c r="I127" s="4" t="str">
        <f t="shared" si="1"/>
        <v>Early</v>
      </c>
      <c r="J127" s="2" t="s">
        <v>42</v>
      </c>
      <c r="K127" s="2" t="s">
        <v>49</v>
      </c>
      <c r="L127" s="4">
        <v>4</v>
      </c>
      <c r="M127" s="4">
        <v>491.51</v>
      </c>
      <c r="N127" s="4">
        <v>1966.04</v>
      </c>
      <c r="O127" s="2" t="s">
        <v>43</v>
      </c>
      <c r="P127" t="str">
        <f>IF('Cleaned Data'!N127&gt;JOTTING!F140,"High Sales","Low Sales")</f>
        <v>High Sales</v>
      </c>
    </row>
    <row r="128" spans="2:16" ht="15" x14ac:dyDescent="0.25">
      <c r="B128" s="2" t="s">
        <v>176</v>
      </c>
      <c r="C128" s="2" t="s">
        <v>757</v>
      </c>
      <c r="D128" s="7">
        <v>2023</v>
      </c>
      <c r="E128" s="7" t="s">
        <v>770</v>
      </c>
      <c r="F128" s="3">
        <v>45214</v>
      </c>
      <c r="G128" s="4">
        <v>173</v>
      </c>
      <c r="H128" s="4">
        <v>2</v>
      </c>
      <c r="I128" s="4" t="str">
        <f t="shared" si="1"/>
        <v>Early</v>
      </c>
      <c r="J128" s="2" t="s">
        <v>63</v>
      </c>
      <c r="K128" s="2" t="s">
        <v>39</v>
      </c>
      <c r="L128" s="4">
        <v>2</v>
      </c>
      <c r="M128" s="4">
        <v>306.29000000000002</v>
      </c>
      <c r="N128" s="4">
        <v>612.58000000000004</v>
      </c>
      <c r="O128" s="2" t="s">
        <v>31</v>
      </c>
      <c r="P128" t="str">
        <f>IF('Cleaned Data'!N128&gt;JOTTING!F141,"High Sales","Low Sales")</f>
        <v>High Sales</v>
      </c>
    </row>
    <row r="129" spans="2:16" ht="15" x14ac:dyDescent="0.25">
      <c r="B129" s="2" t="s">
        <v>177</v>
      </c>
      <c r="C129" s="2" t="s">
        <v>754</v>
      </c>
      <c r="D129" s="7">
        <v>2023</v>
      </c>
      <c r="E129" s="7" t="s">
        <v>759</v>
      </c>
      <c r="F129" s="3">
        <v>45238</v>
      </c>
      <c r="G129" s="4">
        <v>803</v>
      </c>
      <c r="H129" s="4">
        <v>9</v>
      </c>
      <c r="I129" s="4" t="str">
        <f t="shared" si="1"/>
        <v>Slow</v>
      </c>
      <c r="J129" s="2" t="s">
        <v>51</v>
      </c>
      <c r="K129" s="2" t="s">
        <v>25</v>
      </c>
      <c r="L129" s="4">
        <v>4</v>
      </c>
      <c r="M129" s="4">
        <v>166.79</v>
      </c>
      <c r="N129" s="4">
        <v>667.16</v>
      </c>
      <c r="O129" s="2" t="s">
        <v>20</v>
      </c>
      <c r="P129" t="str">
        <f>IF('Cleaned Data'!N129&gt;JOTTING!F142,"High Sales","Low Sales")</f>
        <v>High Sales</v>
      </c>
    </row>
    <row r="130" spans="2:16" ht="15" x14ac:dyDescent="0.25">
      <c r="B130" s="2" t="s">
        <v>178</v>
      </c>
      <c r="C130" s="2" t="s">
        <v>754</v>
      </c>
      <c r="D130" s="7">
        <v>2023</v>
      </c>
      <c r="E130" s="7" t="s">
        <v>770</v>
      </c>
      <c r="F130" s="3">
        <v>45205</v>
      </c>
      <c r="G130" s="4">
        <v>360</v>
      </c>
      <c r="H130" s="4">
        <v>5</v>
      </c>
      <c r="I130" s="4" t="str">
        <f t="shared" si="1"/>
        <v>Standard</v>
      </c>
      <c r="J130" s="2" t="s">
        <v>42</v>
      </c>
      <c r="K130" s="2" t="s">
        <v>57</v>
      </c>
      <c r="L130" s="4">
        <v>3</v>
      </c>
      <c r="M130" s="4">
        <v>246.65</v>
      </c>
      <c r="N130" s="4">
        <v>739.95</v>
      </c>
      <c r="O130" s="2" t="s">
        <v>31</v>
      </c>
      <c r="P130" t="str">
        <f>IF('Cleaned Data'!N130&gt;JOTTING!F143,"High Sales","Low Sales")</f>
        <v>High Sales</v>
      </c>
    </row>
    <row r="131" spans="2:16" ht="15" x14ac:dyDescent="0.25">
      <c r="B131" s="2" t="s">
        <v>179</v>
      </c>
      <c r="C131" s="2" t="s">
        <v>753</v>
      </c>
      <c r="D131" s="7">
        <v>2023</v>
      </c>
      <c r="E131" s="7" t="s">
        <v>770</v>
      </c>
      <c r="F131" s="3">
        <v>45222</v>
      </c>
      <c r="G131" s="4">
        <v>455</v>
      </c>
      <c r="H131" s="4">
        <v>4</v>
      </c>
      <c r="I131" s="4" t="str">
        <f t="shared" ref="I131:I194" si="2">_xlfn.IFS(H131&lt;3,"Early",H131&lt;=6,"Standard",H131&lt;=9,"Slow")</f>
        <v>Standard</v>
      </c>
      <c r="J131" s="2" t="s">
        <v>24</v>
      </c>
      <c r="K131" s="2" t="s">
        <v>25</v>
      </c>
      <c r="L131" s="4">
        <v>3</v>
      </c>
      <c r="M131" s="4">
        <v>317.10000000000002</v>
      </c>
      <c r="N131" s="4">
        <v>951.3</v>
      </c>
      <c r="O131" s="2" t="s">
        <v>31</v>
      </c>
      <c r="P131" t="str">
        <f>IF('Cleaned Data'!N131&gt;JOTTING!F144,"High Sales","Low Sales")</f>
        <v>High Sales</v>
      </c>
    </row>
    <row r="132" spans="2:16" ht="15" x14ac:dyDescent="0.25">
      <c r="B132" s="2" t="s">
        <v>180</v>
      </c>
      <c r="C132" s="2" t="s">
        <v>754</v>
      </c>
      <c r="D132" s="7">
        <v>2023</v>
      </c>
      <c r="E132" s="7" t="s">
        <v>770</v>
      </c>
      <c r="F132" s="3">
        <v>45229</v>
      </c>
      <c r="G132" s="4">
        <v>681</v>
      </c>
      <c r="H132" s="4">
        <v>1</v>
      </c>
      <c r="I132" s="4" t="str">
        <f t="shared" si="2"/>
        <v>Early</v>
      </c>
      <c r="J132" s="2" t="s">
        <v>24</v>
      </c>
      <c r="K132" s="2" t="s">
        <v>57</v>
      </c>
      <c r="L132" s="4">
        <v>4</v>
      </c>
      <c r="M132" s="4">
        <v>82.89</v>
      </c>
      <c r="N132" s="4">
        <v>331.56</v>
      </c>
      <c r="O132" s="2" t="s">
        <v>26</v>
      </c>
      <c r="P132" t="str">
        <f>IF('Cleaned Data'!N132&gt;JOTTING!F145,"High Sales","Low Sales")</f>
        <v>High Sales</v>
      </c>
    </row>
    <row r="133" spans="2:16" ht="15" x14ac:dyDescent="0.25">
      <c r="B133" s="2" t="s">
        <v>181</v>
      </c>
      <c r="C133" s="2" t="s">
        <v>755</v>
      </c>
      <c r="D133" s="7">
        <v>2023</v>
      </c>
      <c r="E133" s="7" t="s">
        <v>767</v>
      </c>
      <c r="F133" s="3">
        <v>45002</v>
      </c>
      <c r="G133" s="4">
        <v>701</v>
      </c>
      <c r="H133" s="4">
        <v>7</v>
      </c>
      <c r="I133" s="4" t="str">
        <f t="shared" si="2"/>
        <v>Slow</v>
      </c>
      <c r="J133" s="2" t="s">
        <v>42</v>
      </c>
      <c r="K133" s="2" t="s">
        <v>39</v>
      </c>
      <c r="L133" s="4">
        <v>4</v>
      </c>
      <c r="M133" s="4">
        <v>330.05</v>
      </c>
      <c r="N133" s="4">
        <v>1320.2</v>
      </c>
      <c r="O133" s="2" t="s">
        <v>20</v>
      </c>
      <c r="P133" t="str">
        <f>IF('Cleaned Data'!N133&gt;JOTTING!F146,"High Sales","Low Sales")</f>
        <v>High Sales</v>
      </c>
    </row>
    <row r="134" spans="2:16" ht="15" x14ac:dyDescent="0.25">
      <c r="B134" s="2" t="s">
        <v>182</v>
      </c>
      <c r="C134" s="2" t="s">
        <v>753</v>
      </c>
      <c r="D134" s="7">
        <v>2023</v>
      </c>
      <c r="E134" s="7" t="s">
        <v>767</v>
      </c>
      <c r="F134" s="3">
        <v>45016</v>
      </c>
      <c r="G134" s="4">
        <v>359</v>
      </c>
      <c r="H134" s="4">
        <v>3</v>
      </c>
      <c r="I134" s="4" t="str">
        <f t="shared" si="2"/>
        <v>Standard</v>
      </c>
      <c r="J134" s="2" t="s">
        <v>42</v>
      </c>
      <c r="K134" s="2" t="s">
        <v>25</v>
      </c>
      <c r="L134" s="4">
        <v>3</v>
      </c>
      <c r="M134" s="4">
        <v>491.53</v>
      </c>
      <c r="N134" s="4">
        <v>1474.59</v>
      </c>
      <c r="O134" s="2" t="s">
        <v>43</v>
      </c>
      <c r="P134" t="str">
        <f>IF('Cleaned Data'!N134&gt;JOTTING!F147,"High Sales","Low Sales")</f>
        <v>High Sales</v>
      </c>
    </row>
    <row r="135" spans="2:16" ht="15" x14ac:dyDescent="0.25">
      <c r="B135" s="2" t="s">
        <v>183</v>
      </c>
      <c r="C135" s="2" t="s">
        <v>755</v>
      </c>
      <c r="D135" s="7">
        <v>2023</v>
      </c>
      <c r="E135" s="7" t="s">
        <v>768</v>
      </c>
      <c r="F135" s="3">
        <v>45164</v>
      </c>
      <c r="G135" s="4">
        <v>737</v>
      </c>
      <c r="H135" s="4">
        <v>6</v>
      </c>
      <c r="I135" s="4" t="str">
        <f t="shared" si="2"/>
        <v>Standard</v>
      </c>
      <c r="J135" s="2" t="s">
        <v>30</v>
      </c>
      <c r="K135" s="2" t="s">
        <v>39</v>
      </c>
      <c r="L135" s="4">
        <v>1</v>
      </c>
      <c r="M135" s="4">
        <v>135.55000000000001</v>
      </c>
      <c r="N135" s="4">
        <v>135.55000000000001</v>
      </c>
      <c r="O135" s="2" t="s">
        <v>31</v>
      </c>
      <c r="P135" t="str">
        <f>IF('Cleaned Data'!N135&gt;JOTTING!F148,"High Sales","Low Sales")</f>
        <v>High Sales</v>
      </c>
    </row>
    <row r="136" spans="2:16" ht="15" x14ac:dyDescent="0.25">
      <c r="B136" s="2" t="s">
        <v>184</v>
      </c>
      <c r="C136" s="2" t="s">
        <v>753</v>
      </c>
      <c r="D136" s="7">
        <v>2023</v>
      </c>
      <c r="E136" s="7" t="s">
        <v>763</v>
      </c>
      <c r="F136" s="3">
        <v>45263</v>
      </c>
      <c r="G136" s="4">
        <v>842</v>
      </c>
      <c r="H136" s="4">
        <v>5</v>
      </c>
      <c r="I136" s="4" t="str">
        <f t="shared" si="2"/>
        <v>Standard</v>
      </c>
      <c r="J136" s="2" t="s">
        <v>63</v>
      </c>
      <c r="K136" s="2" t="s">
        <v>57</v>
      </c>
      <c r="L136" s="4">
        <v>3</v>
      </c>
      <c r="M136" s="4">
        <v>406.67</v>
      </c>
      <c r="N136" s="4">
        <v>1220.01</v>
      </c>
      <c r="O136" s="2" t="s">
        <v>43</v>
      </c>
      <c r="P136" t="str">
        <f>IF('Cleaned Data'!N136&gt;JOTTING!F149,"High Sales","Low Sales")</f>
        <v>High Sales</v>
      </c>
    </row>
    <row r="137" spans="2:16" ht="15" x14ac:dyDescent="0.25">
      <c r="B137" s="2" t="s">
        <v>185</v>
      </c>
      <c r="C137" s="2" t="s">
        <v>756</v>
      </c>
      <c r="D137" s="7">
        <v>2023</v>
      </c>
      <c r="E137" s="7" t="s">
        <v>760</v>
      </c>
      <c r="F137" s="3">
        <v>45047</v>
      </c>
      <c r="G137" s="4">
        <v>394</v>
      </c>
      <c r="H137" s="4">
        <v>5</v>
      </c>
      <c r="I137" s="4" t="str">
        <f t="shared" si="2"/>
        <v>Standard</v>
      </c>
      <c r="J137" s="2" t="s">
        <v>24</v>
      </c>
      <c r="K137" s="2" t="s">
        <v>49</v>
      </c>
      <c r="L137" s="4">
        <v>3</v>
      </c>
      <c r="M137" s="4">
        <v>458.55</v>
      </c>
      <c r="N137" s="4">
        <v>1375.65</v>
      </c>
      <c r="O137" s="2" t="s">
        <v>20</v>
      </c>
      <c r="P137" t="str">
        <f>IF('Cleaned Data'!N137&gt;JOTTING!F150,"High Sales","Low Sales")</f>
        <v>High Sales</v>
      </c>
    </row>
    <row r="138" spans="2:16" ht="15" x14ac:dyDescent="0.25">
      <c r="B138" s="2" t="s">
        <v>186</v>
      </c>
      <c r="C138" s="2" t="s">
        <v>754</v>
      </c>
      <c r="D138" s="7">
        <v>2023</v>
      </c>
      <c r="E138" s="7" t="s">
        <v>768</v>
      </c>
      <c r="F138" s="3">
        <v>45146</v>
      </c>
      <c r="G138" s="4">
        <v>740</v>
      </c>
      <c r="H138" s="4">
        <v>5</v>
      </c>
      <c r="I138" s="4" t="str">
        <f t="shared" si="2"/>
        <v>Standard</v>
      </c>
      <c r="J138" s="2" t="s">
        <v>55</v>
      </c>
      <c r="K138" s="2" t="s">
        <v>25</v>
      </c>
      <c r="L138" s="4">
        <v>4</v>
      </c>
      <c r="M138" s="4">
        <v>474.67</v>
      </c>
      <c r="N138" s="4">
        <v>1898.68</v>
      </c>
      <c r="O138" s="2" t="s">
        <v>26</v>
      </c>
      <c r="P138" t="str">
        <f>IF('Cleaned Data'!N138&gt;JOTTING!F151,"High Sales","Low Sales")</f>
        <v>High Sales</v>
      </c>
    </row>
    <row r="139" spans="2:16" ht="15" x14ac:dyDescent="0.25">
      <c r="B139" s="2" t="s">
        <v>187</v>
      </c>
      <c r="C139" s="2" t="s">
        <v>757</v>
      </c>
      <c r="D139" s="7">
        <v>2023</v>
      </c>
      <c r="E139" s="7" t="s">
        <v>766</v>
      </c>
      <c r="F139" s="3">
        <v>45177</v>
      </c>
      <c r="G139" s="4">
        <v>891</v>
      </c>
      <c r="H139" s="4">
        <v>1</v>
      </c>
      <c r="I139" s="4" t="str">
        <f t="shared" si="2"/>
        <v>Early</v>
      </c>
      <c r="J139" s="2" t="s">
        <v>42</v>
      </c>
      <c r="K139" s="2" t="s">
        <v>39</v>
      </c>
      <c r="L139" s="4">
        <v>3</v>
      </c>
      <c r="M139" s="4">
        <v>482.06</v>
      </c>
      <c r="N139" s="4">
        <v>1446.18</v>
      </c>
      <c r="O139" s="2" t="s">
        <v>26</v>
      </c>
      <c r="P139" t="str">
        <f>IF('Cleaned Data'!N139&gt;JOTTING!F152,"High Sales","Low Sales")</f>
        <v>High Sales</v>
      </c>
    </row>
    <row r="140" spans="2:16" ht="15" x14ac:dyDescent="0.25">
      <c r="B140" s="2" t="s">
        <v>188</v>
      </c>
      <c r="C140" s="2" t="s">
        <v>754</v>
      </c>
      <c r="D140" s="7">
        <v>2023</v>
      </c>
      <c r="E140" s="7" t="s">
        <v>765</v>
      </c>
      <c r="F140" s="3">
        <v>45092</v>
      </c>
      <c r="G140" s="4">
        <v>412</v>
      </c>
      <c r="H140" s="4">
        <v>1</v>
      </c>
      <c r="I140" s="4" t="str">
        <f t="shared" si="2"/>
        <v>Early</v>
      </c>
      <c r="J140" s="2" t="s">
        <v>18</v>
      </c>
      <c r="K140" s="2" t="s">
        <v>19</v>
      </c>
      <c r="L140" s="4">
        <v>4</v>
      </c>
      <c r="M140" s="4">
        <v>284.66000000000003</v>
      </c>
      <c r="N140" s="4">
        <v>1138.6400000000001</v>
      </c>
      <c r="O140" s="2" t="s">
        <v>20</v>
      </c>
      <c r="P140" t="str">
        <f>IF('Cleaned Data'!N140&gt;JOTTING!F153,"High Sales","Low Sales")</f>
        <v>High Sales</v>
      </c>
    </row>
    <row r="141" spans="2:16" ht="15" x14ac:dyDescent="0.25">
      <c r="B141" s="2" t="s">
        <v>189</v>
      </c>
      <c r="C141" s="2" t="s">
        <v>754</v>
      </c>
      <c r="D141" s="7">
        <v>2023</v>
      </c>
      <c r="E141" s="7" t="s">
        <v>766</v>
      </c>
      <c r="F141" s="3">
        <v>45190</v>
      </c>
      <c r="G141" s="4">
        <v>711</v>
      </c>
      <c r="H141" s="4">
        <v>3</v>
      </c>
      <c r="I141" s="4" t="str">
        <f t="shared" si="2"/>
        <v>Standard</v>
      </c>
      <c r="J141" s="2" t="s">
        <v>18</v>
      </c>
      <c r="K141" s="2" t="s">
        <v>57</v>
      </c>
      <c r="L141" s="4">
        <v>4</v>
      </c>
      <c r="M141" s="4">
        <v>489.79</v>
      </c>
      <c r="N141" s="4">
        <v>1959.16</v>
      </c>
      <c r="O141" s="2" t="s">
        <v>31</v>
      </c>
      <c r="P141" t="str">
        <f>IF('Cleaned Data'!N141&gt;JOTTING!F154,"High Sales","Low Sales")</f>
        <v>High Sales</v>
      </c>
    </row>
    <row r="142" spans="2:16" ht="15" x14ac:dyDescent="0.25">
      <c r="B142" s="2" t="s">
        <v>190</v>
      </c>
      <c r="C142" s="2" t="s">
        <v>753</v>
      </c>
      <c r="D142" s="7">
        <v>2023</v>
      </c>
      <c r="E142" s="7" t="s">
        <v>759</v>
      </c>
      <c r="F142" s="3">
        <v>45259</v>
      </c>
      <c r="G142" s="4">
        <v>937</v>
      </c>
      <c r="H142" s="4">
        <v>4</v>
      </c>
      <c r="I142" s="4" t="str">
        <f t="shared" si="2"/>
        <v>Standard</v>
      </c>
      <c r="J142" s="2" t="s">
        <v>51</v>
      </c>
      <c r="K142" s="2" t="s">
        <v>19</v>
      </c>
      <c r="L142" s="4">
        <v>2</v>
      </c>
      <c r="M142" s="4">
        <v>390.79</v>
      </c>
      <c r="N142" s="4">
        <v>781.58</v>
      </c>
      <c r="O142" s="2" t="s">
        <v>43</v>
      </c>
      <c r="P142" t="str">
        <f>IF('Cleaned Data'!N142&gt;JOTTING!F155,"High Sales","Low Sales")</f>
        <v>High Sales</v>
      </c>
    </row>
    <row r="143" spans="2:16" ht="15" x14ac:dyDescent="0.25">
      <c r="B143" s="2" t="s">
        <v>191</v>
      </c>
      <c r="C143" s="2" t="s">
        <v>756</v>
      </c>
      <c r="D143" s="7">
        <v>2023</v>
      </c>
      <c r="E143" s="7" t="s">
        <v>768</v>
      </c>
      <c r="F143" s="3">
        <v>45159</v>
      </c>
      <c r="G143" s="4">
        <v>908</v>
      </c>
      <c r="H143" s="4">
        <v>5</v>
      </c>
      <c r="I143" s="4" t="str">
        <f t="shared" si="2"/>
        <v>Standard</v>
      </c>
      <c r="J143" s="2" t="s">
        <v>24</v>
      </c>
      <c r="K143" s="2" t="s">
        <v>39</v>
      </c>
      <c r="L143" s="4">
        <v>3</v>
      </c>
      <c r="M143" s="4">
        <v>122.75</v>
      </c>
      <c r="N143" s="4">
        <v>368.25</v>
      </c>
      <c r="O143" s="2" t="s">
        <v>26</v>
      </c>
      <c r="P143" t="str">
        <f>IF('Cleaned Data'!N143&gt;JOTTING!F156,"High Sales","Low Sales")</f>
        <v>High Sales</v>
      </c>
    </row>
    <row r="144" spans="2:16" ht="15" x14ac:dyDescent="0.25">
      <c r="B144" s="2" t="s">
        <v>192</v>
      </c>
      <c r="C144" s="2" t="s">
        <v>754</v>
      </c>
      <c r="D144" s="7">
        <v>2023</v>
      </c>
      <c r="E144" s="7" t="s">
        <v>762</v>
      </c>
      <c r="F144" s="3">
        <v>45126</v>
      </c>
      <c r="G144" s="4">
        <v>281</v>
      </c>
      <c r="H144" s="4">
        <v>2</v>
      </c>
      <c r="I144" s="4" t="str">
        <f t="shared" si="2"/>
        <v>Early</v>
      </c>
      <c r="J144" s="2" t="s">
        <v>51</v>
      </c>
      <c r="K144" s="2" t="s">
        <v>49</v>
      </c>
      <c r="L144" s="4">
        <v>1</v>
      </c>
      <c r="M144" s="4">
        <v>264.61</v>
      </c>
      <c r="N144" s="4">
        <v>264.61</v>
      </c>
      <c r="O144" s="2" t="s">
        <v>26</v>
      </c>
      <c r="P144" t="str">
        <f>IF('Cleaned Data'!N144&gt;JOTTING!F157,"High Sales","Low Sales")</f>
        <v>High Sales</v>
      </c>
    </row>
    <row r="145" spans="2:16" ht="15" x14ac:dyDescent="0.25">
      <c r="B145" s="2" t="s">
        <v>193</v>
      </c>
      <c r="C145" s="2" t="s">
        <v>754</v>
      </c>
      <c r="D145" s="7">
        <v>2023</v>
      </c>
      <c r="E145" s="7" t="s">
        <v>765</v>
      </c>
      <c r="F145" s="3">
        <v>45095</v>
      </c>
      <c r="G145" s="4">
        <v>785</v>
      </c>
      <c r="H145" s="4">
        <v>8</v>
      </c>
      <c r="I145" s="4" t="str">
        <f t="shared" si="2"/>
        <v>Slow</v>
      </c>
      <c r="J145" s="2" t="s">
        <v>63</v>
      </c>
      <c r="K145" s="2" t="s">
        <v>57</v>
      </c>
      <c r="L145" s="4">
        <v>2</v>
      </c>
      <c r="M145" s="4">
        <v>373.25</v>
      </c>
      <c r="N145" s="4">
        <v>746.5</v>
      </c>
      <c r="O145" s="2" t="s">
        <v>43</v>
      </c>
      <c r="P145" t="str">
        <f>IF('Cleaned Data'!N145&gt;JOTTING!F158,"High Sales","Low Sales")</f>
        <v>High Sales</v>
      </c>
    </row>
    <row r="146" spans="2:16" ht="15" x14ac:dyDescent="0.25">
      <c r="B146" s="2" t="s">
        <v>194</v>
      </c>
      <c r="C146" s="2" t="s">
        <v>753</v>
      </c>
      <c r="D146" s="7">
        <v>2023</v>
      </c>
      <c r="E146" s="7" t="s">
        <v>768</v>
      </c>
      <c r="F146" s="3">
        <v>45139</v>
      </c>
      <c r="G146" s="4">
        <v>927</v>
      </c>
      <c r="H146" s="4">
        <v>2</v>
      </c>
      <c r="I146" s="4" t="str">
        <f t="shared" si="2"/>
        <v>Early</v>
      </c>
      <c r="J146" s="2" t="s">
        <v>55</v>
      </c>
      <c r="K146" s="2" t="s">
        <v>57</v>
      </c>
      <c r="L146" s="4">
        <v>4</v>
      </c>
      <c r="M146" s="4">
        <v>161.30000000000001</v>
      </c>
      <c r="N146" s="4">
        <v>645.20000000000005</v>
      </c>
      <c r="O146" s="2" t="s">
        <v>26</v>
      </c>
      <c r="P146" t="str">
        <f>IF('Cleaned Data'!N146&gt;JOTTING!F159,"High Sales","Low Sales")</f>
        <v>High Sales</v>
      </c>
    </row>
    <row r="147" spans="2:16" ht="15" x14ac:dyDescent="0.25">
      <c r="B147" s="2" t="s">
        <v>195</v>
      </c>
      <c r="C147" s="2" t="s">
        <v>753</v>
      </c>
      <c r="D147" s="7">
        <v>2023</v>
      </c>
      <c r="E147" s="7" t="s">
        <v>760</v>
      </c>
      <c r="F147" s="3">
        <v>45065</v>
      </c>
      <c r="G147" s="4">
        <v>463</v>
      </c>
      <c r="H147" s="4">
        <v>9</v>
      </c>
      <c r="I147" s="4" t="str">
        <f t="shared" si="2"/>
        <v>Slow</v>
      </c>
      <c r="J147" s="2" t="s">
        <v>42</v>
      </c>
      <c r="K147" s="2" t="s">
        <v>25</v>
      </c>
      <c r="L147" s="4">
        <v>4</v>
      </c>
      <c r="M147" s="4">
        <v>338.28</v>
      </c>
      <c r="N147" s="4">
        <v>1353.12</v>
      </c>
      <c r="O147" s="2" t="s">
        <v>26</v>
      </c>
      <c r="P147" t="str">
        <f>IF('Cleaned Data'!N147&gt;JOTTING!F160,"High Sales","Low Sales")</f>
        <v>High Sales</v>
      </c>
    </row>
    <row r="148" spans="2:16" ht="15" x14ac:dyDescent="0.25">
      <c r="B148" s="2" t="s">
        <v>196</v>
      </c>
      <c r="C148" s="2" t="s">
        <v>754</v>
      </c>
      <c r="D148" s="7">
        <v>2023</v>
      </c>
      <c r="E148" s="7" t="s">
        <v>760</v>
      </c>
      <c r="F148" s="3">
        <v>45071</v>
      </c>
      <c r="G148" s="4">
        <v>287</v>
      </c>
      <c r="H148" s="4">
        <v>2</v>
      </c>
      <c r="I148" s="4" t="str">
        <f t="shared" si="2"/>
        <v>Early</v>
      </c>
      <c r="J148" s="2" t="s">
        <v>18</v>
      </c>
      <c r="K148" s="2" t="s">
        <v>57</v>
      </c>
      <c r="L148" s="4">
        <v>1</v>
      </c>
      <c r="M148" s="4">
        <v>349.97</v>
      </c>
      <c r="N148" s="4">
        <v>349.97</v>
      </c>
      <c r="O148" s="2" t="s">
        <v>20</v>
      </c>
      <c r="P148" t="str">
        <f>IF('Cleaned Data'!N148&gt;JOTTING!F161,"High Sales","Low Sales")</f>
        <v>High Sales</v>
      </c>
    </row>
    <row r="149" spans="2:16" ht="15" x14ac:dyDescent="0.25">
      <c r="B149" s="2" t="s">
        <v>197</v>
      </c>
      <c r="C149" s="2" t="s">
        <v>756</v>
      </c>
      <c r="D149" s="7">
        <v>2023</v>
      </c>
      <c r="E149" s="7" t="s">
        <v>762</v>
      </c>
      <c r="F149" s="3">
        <v>45130</v>
      </c>
      <c r="G149" s="4">
        <v>668</v>
      </c>
      <c r="H149" s="4">
        <v>9</v>
      </c>
      <c r="I149" s="4" t="str">
        <f t="shared" si="2"/>
        <v>Slow</v>
      </c>
      <c r="J149" s="2" t="s">
        <v>63</v>
      </c>
      <c r="K149" s="2" t="s">
        <v>57</v>
      </c>
      <c r="L149" s="4">
        <v>4</v>
      </c>
      <c r="M149" s="4">
        <v>123.21</v>
      </c>
      <c r="N149" s="4">
        <v>492.84</v>
      </c>
      <c r="O149" s="2" t="s">
        <v>31</v>
      </c>
      <c r="P149" t="str">
        <f>IF('Cleaned Data'!N149&gt;JOTTING!F162,"High Sales","Low Sales")</f>
        <v>High Sales</v>
      </c>
    </row>
    <row r="150" spans="2:16" ht="15" x14ac:dyDescent="0.25">
      <c r="B150" s="2" t="s">
        <v>198</v>
      </c>
      <c r="C150" s="2" t="s">
        <v>757</v>
      </c>
      <c r="D150" s="7">
        <v>2023</v>
      </c>
      <c r="E150" s="7" t="s">
        <v>764</v>
      </c>
      <c r="F150" s="3">
        <v>44958</v>
      </c>
      <c r="G150" s="4">
        <v>642</v>
      </c>
      <c r="H150" s="4">
        <v>7</v>
      </c>
      <c r="I150" s="4" t="str">
        <f t="shared" si="2"/>
        <v>Slow</v>
      </c>
      <c r="J150" s="2" t="s">
        <v>51</v>
      </c>
      <c r="K150" s="2" t="s">
        <v>19</v>
      </c>
      <c r="L150" s="4">
        <v>3</v>
      </c>
      <c r="M150" s="4">
        <v>304.29000000000002</v>
      </c>
      <c r="N150" s="4">
        <v>912.87</v>
      </c>
      <c r="O150" s="2" t="s">
        <v>20</v>
      </c>
      <c r="P150" t="str">
        <f>IF('Cleaned Data'!N150&gt;JOTTING!F163,"High Sales","Low Sales")</f>
        <v>High Sales</v>
      </c>
    </row>
    <row r="151" spans="2:16" ht="15" x14ac:dyDescent="0.25">
      <c r="B151" s="2" t="s">
        <v>199</v>
      </c>
      <c r="C151" s="2" t="s">
        <v>756</v>
      </c>
      <c r="D151" s="7">
        <v>2023</v>
      </c>
      <c r="E151" s="7" t="s">
        <v>769</v>
      </c>
      <c r="F151" s="3">
        <v>45018</v>
      </c>
      <c r="G151" s="4">
        <v>695</v>
      </c>
      <c r="H151" s="4">
        <v>8</v>
      </c>
      <c r="I151" s="4" t="str">
        <f t="shared" si="2"/>
        <v>Slow</v>
      </c>
      <c r="J151" s="2" t="s">
        <v>63</v>
      </c>
      <c r="K151" s="2" t="s">
        <v>19</v>
      </c>
      <c r="L151" s="4">
        <v>2</v>
      </c>
      <c r="M151" s="4">
        <v>397.23</v>
      </c>
      <c r="N151" s="4">
        <v>794.46</v>
      </c>
      <c r="O151" s="2" t="s">
        <v>31</v>
      </c>
      <c r="P151" t="str">
        <f>IF('Cleaned Data'!N151&gt;JOTTING!F164,"High Sales","Low Sales")</f>
        <v>High Sales</v>
      </c>
    </row>
    <row r="152" spans="2:16" ht="15" x14ac:dyDescent="0.25">
      <c r="B152" s="2" t="s">
        <v>200</v>
      </c>
      <c r="C152" s="2" t="s">
        <v>755</v>
      </c>
      <c r="D152" s="7">
        <v>2023</v>
      </c>
      <c r="E152" s="7" t="s">
        <v>762</v>
      </c>
      <c r="F152" s="3">
        <v>45127</v>
      </c>
      <c r="G152" s="4">
        <v>763</v>
      </c>
      <c r="H152" s="4">
        <v>2</v>
      </c>
      <c r="I152" s="4" t="str">
        <f t="shared" si="2"/>
        <v>Early</v>
      </c>
      <c r="J152" s="2" t="s">
        <v>18</v>
      </c>
      <c r="K152" s="2" t="s">
        <v>39</v>
      </c>
      <c r="L152" s="4">
        <v>4</v>
      </c>
      <c r="M152" s="4">
        <v>274.5</v>
      </c>
      <c r="N152" s="4">
        <v>1098</v>
      </c>
      <c r="O152" s="2" t="s">
        <v>20</v>
      </c>
      <c r="P152" t="str">
        <f>IF('Cleaned Data'!N152&gt;JOTTING!F165,"High Sales","Low Sales")</f>
        <v>High Sales</v>
      </c>
    </row>
    <row r="153" spans="2:16" ht="15" x14ac:dyDescent="0.25">
      <c r="B153" s="2" t="s">
        <v>201</v>
      </c>
      <c r="C153" s="2" t="s">
        <v>756</v>
      </c>
      <c r="D153" s="7">
        <v>2023</v>
      </c>
      <c r="E153" s="7" t="s">
        <v>765</v>
      </c>
      <c r="F153" s="3">
        <v>45091</v>
      </c>
      <c r="G153" s="4">
        <v>647</v>
      </c>
      <c r="H153" s="4">
        <v>7</v>
      </c>
      <c r="I153" s="4" t="str">
        <f t="shared" si="2"/>
        <v>Slow</v>
      </c>
      <c r="J153" s="2" t="s">
        <v>51</v>
      </c>
      <c r="K153" s="2" t="s">
        <v>57</v>
      </c>
      <c r="L153" s="4">
        <v>4</v>
      </c>
      <c r="M153" s="4">
        <v>55.45</v>
      </c>
      <c r="N153" s="4">
        <v>221.8</v>
      </c>
      <c r="O153" s="2" t="s">
        <v>31</v>
      </c>
      <c r="P153" t="str">
        <f>IF('Cleaned Data'!N153&gt;JOTTING!F166,"High Sales","Low Sales")</f>
        <v>High Sales</v>
      </c>
    </row>
    <row r="154" spans="2:16" ht="15" x14ac:dyDescent="0.25">
      <c r="B154" s="2" t="s">
        <v>202</v>
      </c>
      <c r="C154" s="2" t="s">
        <v>755</v>
      </c>
      <c r="D154" s="7">
        <v>2023</v>
      </c>
      <c r="E154" s="7" t="s">
        <v>760</v>
      </c>
      <c r="F154" s="3">
        <v>45054</v>
      </c>
      <c r="G154" s="4">
        <v>824</v>
      </c>
      <c r="H154" s="4">
        <v>6</v>
      </c>
      <c r="I154" s="4" t="str">
        <f t="shared" si="2"/>
        <v>Standard</v>
      </c>
      <c r="J154" s="2" t="s">
        <v>24</v>
      </c>
      <c r="K154" s="2" t="s">
        <v>57</v>
      </c>
      <c r="L154" s="4">
        <v>1</v>
      </c>
      <c r="M154" s="4">
        <v>54.07</v>
      </c>
      <c r="N154" s="4">
        <v>54.07</v>
      </c>
      <c r="O154" s="2" t="s">
        <v>26</v>
      </c>
      <c r="P154" t="str">
        <f>IF('Cleaned Data'!N154&gt;JOTTING!F167,"High Sales","Low Sales")</f>
        <v>High Sales</v>
      </c>
    </row>
    <row r="155" spans="2:16" ht="15" x14ac:dyDescent="0.25">
      <c r="B155" s="2" t="s">
        <v>203</v>
      </c>
      <c r="C155" s="2" t="s">
        <v>757</v>
      </c>
      <c r="D155" s="7">
        <v>2023</v>
      </c>
      <c r="E155" s="7" t="s">
        <v>766</v>
      </c>
      <c r="F155" s="3">
        <v>45197</v>
      </c>
      <c r="G155" s="4">
        <v>507</v>
      </c>
      <c r="H155" s="4">
        <v>4</v>
      </c>
      <c r="I155" s="4" t="str">
        <f t="shared" si="2"/>
        <v>Standard</v>
      </c>
      <c r="J155" s="2" t="s">
        <v>18</v>
      </c>
      <c r="K155" s="2" t="s">
        <v>49</v>
      </c>
      <c r="L155" s="4">
        <v>3</v>
      </c>
      <c r="M155" s="4">
        <v>210.66</v>
      </c>
      <c r="N155" s="4">
        <v>631.98</v>
      </c>
      <c r="O155" s="2" t="s">
        <v>26</v>
      </c>
      <c r="P155" t="str">
        <f>IF('Cleaned Data'!N155&gt;JOTTING!F168,"High Sales","Low Sales")</f>
        <v>High Sales</v>
      </c>
    </row>
    <row r="156" spans="2:16" ht="15" x14ac:dyDescent="0.25">
      <c r="B156" s="2" t="s">
        <v>204</v>
      </c>
      <c r="C156" s="2" t="s">
        <v>753</v>
      </c>
      <c r="D156" s="7">
        <v>2023</v>
      </c>
      <c r="E156" s="7" t="s">
        <v>766</v>
      </c>
      <c r="F156" s="3">
        <v>45187</v>
      </c>
      <c r="G156" s="4">
        <v>975</v>
      </c>
      <c r="H156" s="4">
        <v>7</v>
      </c>
      <c r="I156" s="4" t="str">
        <f t="shared" si="2"/>
        <v>Slow</v>
      </c>
      <c r="J156" s="2" t="s">
        <v>24</v>
      </c>
      <c r="K156" s="2" t="s">
        <v>19</v>
      </c>
      <c r="L156" s="4">
        <v>4</v>
      </c>
      <c r="M156" s="4">
        <v>466.79</v>
      </c>
      <c r="N156" s="4">
        <v>1867.16</v>
      </c>
      <c r="O156" s="2" t="s">
        <v>31</v>
      </c>
      <c r="P156" t="str">
        <f>IF('Cleaned Data'!N156&gt;JOTTING!F169,"High Sales","Low Sales")</f>
        <v>High Sales</v>
      </c>
    </row>
    <row r="157" spans="2:16" ht="15" x14ac:dyDescent="0.25">
      <c r="B157" s="2" t="s">
        <v>205</v>
      </c>
      <c r="C157" s="2" t="s">
        <v>753</v>
      </c>
      <c r="D157" s="7">
        <v>2023</v>
      </c>
      <c r="E157" s="7" t="s">
        <v>767</v>
      </c>
      <c r="F157" s="3">
        <v>44991</v>
      </c>
      <c r="G157" s="4">
        <v>717</v>
      </c>
      <c r="H157" s="4">
        <v>4</v>
      </c>
      <c r="I157" s="4" t="str">
        <f t="shared" si="2"/>
        <v>Standard</v>
      </c>
      <c r="J157" s="2" t="s">
        <v>24</v>
      </c>
      <c r="K157" s="2" t="s">
        <v>49</v>
      </c>
      <c r="L157" s="4">
        <v>1</v>
      </c>
      <c r="M157" s="4">
        <v>152.9</v>
      </c>
      <c r="N157" s="4">
        <v>152.9</v>
      </c>
      <c r="O157" s="2" t="s">
        <v>43</v>
      </c>
      <c r="P157" t="str">
        <f>IF('Cleaned Data'!N157&gt;JOTTING!F170,"High Sales","Low Sales")</f>
        <v>High Sales</v>
      </c>
    </row>
    <row r="158" spans="2:16" ht="15" x14ac:dyDescent="0.25">
      <c r="B158" s="2" t="s">
        <v>206</v>
      </c>
      <c r="C158" s="2" t="s">
        <v>756</v>
      </c>
      <c r="D158" s="7">
        <v>2023</v>
      </c>
      <c r="E158" s="7" t="s">
        <v>759</v>
      </c>
      <c r="F158" s="3">
        <v>45249</v>
      </c>
      <c r="G158" s="4">
        <v>513</v>
      </c>
      <c r="H158" s="4">
        <v>2</v>
      </c>
      <c r="I158" s="4" t="str">
        <f t="shared" si="2"/>
        <v>Early</v>
      </c>
      <c r="J158" s="2" t="s">
        <v>63</v>
      </c>
      <c r="K158" s="2" t="s">
        <v>49</v>
      </c>
      <c r="L158" s="4">
        <v>4</v>
      </c>
      <c r="M158" s="4">
        <v>335.46</v>
      </c>
      <c r="N158" s="4">
        <v>1341.84</v>
      </c>
      <c r="O158" s="2" t="s">
        <v>31</v>
      </c>
      <c r="P158" t="str">
        <f>IF('Cleaned Data'!N158&gt;JOTTING!F171,"High Sales","Low Sales")</f>
        <v>High Sales</v>
      </c>
    </row>
    <row r="159" spans="2:16" ht="15" x14ac:dyDescent="0.25">
      <c r="B159" s="2" t="s">
        <v>207</v>
      </c>
      <c r="C159" s="2" t="s">
        <v>756</v>
      </c>
      <c r="D159" s="7">
        <v>2023</v>
      </c>
      <c r="E159" s="7" t="s">
        <v>762</v>
      </c>
      <c r="F159" s="3">
        <v>45114</v>
      </c>
      <c r="G159" s="4">
        <v>441</v>
      </c>
      <c r="H159" s="4">
        <v>7</v>
      </c>
      <c r="I159" s="4" t="str">
        <f t="shared" si="2"/>
        <v>Slow</v>
      </c>
      <c r="J159" s="2" t="s">
        <v>42</v>
      </c>
      <c r="K159" s="2" t="s">
        <v>19</v>
      </c>
      <c r="L159" s="4">
        <v>1</v>
      </c>
      <c r="M159" s="4">
        <v>149.93</v>
      </c>
      <c r="N159" s="4">
        <v>149.93</v>
      </c>
      <c r="O159" s="2" t="s">
        <v>31</v>
      </c>
      <c r="P159" t="str">
        <f>IF('Cleaned Data'!N159&gt;JOTTING!F172,"High Sales","Low Sales")</f>
        <v>High Sales</v>
      </c>
    </row>
    <row r="160" spans="2:16" ht="15" x14ac:dyDescent="0.25">
      <c r="B160" s="2" t="s">
        <v>208</v>
      </c>
      <c r="C160" s="2" t="s">
        <v>755</v>
      </c>
      <c r="D160" s="7">
        <v>2023</v>
      </c>
      <c r="E160" s="7" t="s">
        <v>770</v>
      </c>
      <c r="F160" s="3">
        <v>45205</v>
      </c>
      <c r="G160" s="4">
        <v>319</v>
      </c>
      <c r="H160" s="4">
        <v>8</v>
      </c>
      <c r="I160" s="4" t="str">
        <f t="shared" si="2"/>
        <v>Slow</v>
      </c>
      <c r="J160" s="2" t="s">
        <v>42</v>
      </c>
      <c r="K160" s="2" t="s">
        <v>19</v>
      </c>
      <c r="L160" s="4">
        <v>1</v>
      </c>
      <c r="M160" s="4">
        <v>194.75</v>
      </c>
      <c r="N160" s="4">
        <v>194.75</v>
      </c>
      <c r="O160" s="2" t="s">
        <v>20</v>
      </c>
      <c r="P160" t="str">
        <f>IF('Cleaned Data'!N160&gt;JOTTING!F173,"High Sales","Low Sales")</f>
        <v>High Sales</v>
      </c>
    </row>
    <row r="161" spans="2:16" ht="15" x14ac:dyDescent="0.25">
      <c r="B161" s="2" t="s">
        <v>209</v>
      </c>
      <c r="C161" s="2" t="s">
        <v>755</v>
      </c>
      <c r="D161" s="7">
        <v>2023</v>
      </c>
      <c r="E161" s="7" t="s">
        <v>762</v>
      </c>
      <c r="F161" s="3">
        <v>45138</v>
      </c>
      <c r="G161" s="4">
        <v>262</v>
      </c>
      <c r="H161" s="4">
        <v>2</v>
      </c>
      <c r="I161" s="4" t="str">
        <f t="shared" si="2"/>
        <v>Early</v>
      </c>
      <c r="J161" s="2" t="s">
        <v>24</v>
      </c>
      <c r="K161" s="2" t="s">
        <v>25</v>
      </c>
      <c r="L161" s="4">
        <v>3</v>
      </c>
      <c r="M161" s="4">
        <v>431.62</v>
      </c>
      <c r="N161" s="4">
        <v>1294.8599999999999</v>
      </c>
      <c r="O161" s="2" t="s">
        <v>26</v>
      </c>
      <c r="P161" t="str">
        <f>IF('Cleaned Data'!N161&gt;JOTTING!F174,"High Sales","Low Sales")</f>
        <v>High Sales</v>
      </c>
    </row>
    <row r="162" spans="2:16" ht="15" x14ac:dyDescent="0.25">
      <c r="B162" s="2" t="s">
        <v>210</v>
      </c>
      <c r="C162" s="2" t="s">
        <v>755</v>
      </c>
      <c r="D162" s="7">
        <v>2024</v>
      </c>
      <c r="E162" s="7" t="s">
        <v>761</v>
      </c>
      <c r="F162" s="3">
        <v>45296</v>
      </c>
      <c r="G162" s="4">
        <v>319</v>
      </c>
      <c r="H162" s="4">
        <v>5</v>
      </c>
      <c r="I162" s="4" t="str">
        <f t="shared" si="2"/>
        <v>Standard</v>
      </c>
      <c r="J162" s="2" t="s">
        <v>42</v>
      </c>
      <c r="K162" s="2" t="s">
        <v>25</v>
      </c>
      <c r="L162" s="4">
        <v>4</v>
      </c>
      <c r="M162" s="4">
        <v>377.99</v>
      </c>
      <c r="N162" s="4">
        <v>1511.96</v>
      </c>
      <c r="O162" s="2" t="s">
        <v>20</v>
      </c>
      <c r="P162" t="str">
        <f>IF('Cleaned Data'!N162&gt;JOTTING!F175,"High Sales","Low Sales")</f>
        <v>High Sales</v>
      </c>
    </row>
    <row r="163" spans="2:16" ht="15" x14ac:dyDescent="0.25">
      <c r="B163" s="2" t="s">
        <v>211</v>
      </c>
      <c r="C163" s="2" t="s">
        <v>757</v>
      </c>
      <c r="D163" s="7">
        <v>2023</v>
      </c>
      <c r="E163" s="7" t="s">
        <v>770</v>
      </c>
      <c r="F163" s="3">
        <v>45202</v>
      </c>
      <c r="G163" s="4">
        <v>369</v>
      </c>
      <c r="H163" s="4">
        <v>1</v>
      </c>
      <c r="I163" s="4" t="str">
        <f t="shared" si="2"/>
        <v>Early</v>
      </c>
      <c r="J163" s="2" t="s">
        <v>55</v>
      </c>
      <c r="K163" s="2" t="s">
        <v>57</v>
      </c>
      <c r="L163" s="4">
        <v>3</v>
      </c>
      <c r="M163" s="4">
        <v>92.93</v>
      </c>
      <c r="N163" s="4">
        <v>278.79000000000002</v>
      </c>
      <c r="O163" s="2" t="s">
        <v>20</v>
      </c>
      <c r="P163" t="str">
        <f>IF('Cleaned Data'!N163&gt;JOTTING!F176,"High Sales","Low Sales")</f>
        <v>High Sales</v>
      </c>
    </row>
    <row r="164" spans="2:16" ht="15" x14ac:dyDescent="0.25">
      <c r="B164" s="2" t="s">
        <v>212</v>
      </c>
      <c r="C164" s="2" t="s">
        <v>753</v>
      </c>
      <c r="D164" s="7">
        <v>2023</v>
      </c>
      <c r="E164" s="7" t="s">
        <v>766</v>
      </c>
      <c r="F164" s="3">
        <v>45192</v>
      </c>
      <c r="G164" s="4">
        <v>731</v>
      </c>
      <c r="H164" s="4">
        <v>7</v>
      </c>
      <c r="I164" s="4" t="str">
        <f t="shared" si="2"/>
        <v>Slow</v>
      </c>
      <c r="J164" s="2" t="s">
        <v>30</v>
      </c>
      <c r="K164" s="2" t="s">
        <v>19</v>
      </c>
      <c r="L164" s="4">
        <v>1</v>
      </c>
      <c r="M164" s="4">
        <v>242.92</v>
      </c>
      <c r="N164" s="4">
        <v>242.92</v>
      </c>
      <c r="O164" s="2" t="s">
        <v>20</v>
      </c>
      <c r="P164" t="str">
        <f>IF('Cleaned Data'!N164&gt;JOTTING!F177,"High Sales","Low Sales")</f>
        <v>High Sales</v>
      </c>
    </row>
    <row r="165" spans="2:16" ht="15" x14ac:dyDescent="0.25">
      <c r="B165" s="2" t="s">
        <v>213</v>
      </c>
      <c r="C165" s="2" t="s">
        <v>757</v>
      </c>
      <c r="D165" s="7">
        <v>2023</v>
      </c>
      <c r="E165" s="7" t="s">
        <v>770</v>
      </c>
      <c r="F165" s="3">
        <v>45219</v>
      </c>
      <c r="G165" s="4">
        <v>947</v>
      </c>
      <c r="H165" s="4">
        <v>8</v>
      </c>
      <c r="I165" s="4" t="str">
        <f t="shared" si="2"/>
        <v>Slow</v>
      </c>
      <c r="J165" s="2" t="s">
        <v>42</v>
      </c>
      <c r="K165" s="2" t="s">
        <v>57</v>
      </c>
      <c r="L165" s="4">
        <v>2</v>
      </c>
      <c r="M165" s="4">
        <v>63.13</v>
      </c>
      <c r="N165" s="4">
        <v>126.26</v>
      </c>
      <c r="O165" s="2" t="s">
        <v>43</v>
      </c>
      <c r="P165" t="str">
        <f>IF('Cleaned Data'!N165&gt;JOTTING!F178,"High Sales","Low Sales")</f>
        <v>High Sales</v>
      </c>
    </row>
    <row r="166" spans="2:16" ht="15" x14ac:dyDescent="0.25">
      <c r="B166" s="2" t="s">
        <v>214</v>
      </c>
      <c r="C166" s="2" t="s">
        <v>753</v>
      </c>
      <c r="D166" s="7">
        <v>2023</v>
      </c>
      <c r="E166" s="7" t="s">
        <v>764</v>
      </c>
      <c r="F166" s="3">
        <v>44985</v>
      </c>
      <c r="G166" s="4">
        <v>499</v>
      </c>
      <c r="H166" s="4">
        <v>6</v>
      </c>
      <c r="I166" s="4" t="str">
        <f t="shared" si="2"/>
        <v>Standard</v>
      </c>
      <c r="J166" s="2" t="s">
        <v>55</v>
      </c>
      <c r="K166" s="2" t="s">
        <v>25</v>
      </c>
      <c r="L166" s="4">
        <v>4</v>
      </c>
      <c r="M166" s="4">
        <v>266.39999999999998</v>
      </c>
      <c r="N166" s="4">
        <v>1065.5999999999999</v>
      </c>
      <c r="O166" s="2" t="s">
        <v>20</v>
      </c>
      <c r="P166" t="str">
        <f>IF('Cleaned Data'!N166&gt;JOTTING!F179,"High Sales","Low Sales")</f>
        <v>High Sales</v>
      </c>
    </row>
    <row r="167" spans="2:16" ht="15" x14ac:dyDescent="0.25">
      <c r="B167" s="2" t="s">
        <v>215</v>
      </c>
      <c r="C167" s="2" t="s">
        <v>757</v>
      </c>
      <c r="D167" s="7">
        <v>2023</v>
      </c>
      <c r="E167" s="7" t="s">
        <v>767</v>
      </c>
      <c r="F167" s="3">
        <v>45006</v>
      </c>
      <c r="G167" s="4">
        <v>281</v>
      </c>
      <c r="H167" s="4">
        <v>5</v>
      </c>
      <c r="I167" s="4" t="str">
        <f t="shared" si="2"/>
        <v>Standard</v>
      </c>
      <c r="J167" s="2" t="s">
        <v>55</v>
      </c>
      <c r="K167" s="2" t="s">
        <v>49</v>
      </c>
      <c r="L167" s="4">
        <v>2</v>
      </c>
      <c r="M167" s="4">
        <v>348.1</v>
      </c>
      <c r="N167" s="4">
        <v>696.2</v>
      </c>
      <c r="O167" s="2" t="s">
        <v>26</v>
      </c>
      <c r="P167" t="str">
        <f>IF('Cleaned Data'!N167&gt;JOTTING!F180,"High Sales","Low Sales")</f>
        <v>High Sales</v>
      </c>
    </row>
    <row r="168" spans="2:16" ht="15" x14ac:dyDescent="0.25">
      <c r="B168" s="2" t="s">
        <v>216</v>
      </c>
      <c r="C168" s="2" t="s">
        <v>757</v>
      </c>
      <c r="D168" s="7">
        <v>2023</v>
      </c>
      <c r="E168" s="7" t="s">
        <v>766</v>
      </c>
      <c r="F168" s="3">
        <v>45193</v>
      </c>
      <c r="G168" s="4">
        <v>717</v>
      </c>
      <c r="H168" s="4">
        <v>6</v>
      </c>
      <c r="I168" s="4" t="str">
        <f t="shared" si="2"/>
        <v>Standard</v>
      </c>
      <c r="J168" s="2" t="s">
        <v>63</v>
      </c>
      <c r="K168" s="2" t="s">
        <v>57</v>
      </c>
      <c r="L168" s="4">
        <v>4</v>
      </c>
      <c r="M168" s="4">
        <v>103.33</v>
      </c>
      <c r="N168" s="4">
        <v>413.32</v>
      </c>
      <c r="O168" s="2" t="s">
        <v>31</v>
      </c>
      <c r="P168" t="str">
        <f>IF('Cleaned Data'!N168&gt;JOTTING!F181,"High Sales","Low Sales")</f>
        <v>High Sales</v>
      </c>
    </row>
    <row r="169" spans="2:16" ht="15" x14ac:dyDescent="0.25">
      <c r="B169" s="2" t="s">
        <v>217</v>
      </c>
      <c r="C169" s="2" t="s">
        <v>754</v>
      </c>
      <c r="D169" s="7">
        <v>2023</v>
      </c>
      <c r="E169" s="7" t="s">
        <v>762</v>
      </c>
      <c r="F169" s="3">
        <v>45109</v>
      </c>
      <c r="G169" s="4">
        <v>828</v>
      </c>
      <c r="H169" s="4">
        <v>2</v>
      </c>
      <c r="I169" s="4" t="str">
        <f t="shared" si="2"/>
        <v>Early</v>
      </c>
      <c r="J169" s="2" t="s">
        <v>63</v>
      </c>
      <c r="K169" s="2" t="s">
        <v>25</v>
      </c>
      <c r="L169" s="4">
        <v>3</v>
      </c>
      <c r="M169" s="4">
        <v>180</v>
      </c>
      <c r="N169" s="4">
        <v>540</v>
      </c>
      <c r="O169" s="2" t="s">
        <v>43</v>
      </c>
      <c r="P169" t="str">
        <f>IF('Cleaned Data'!N169&gt;JOTTING!F182,"High Sales","Low Sales")</f>
        <v>High Sales</v>
      </c>
    </row>
    <row r="170" spans="2:16" ht="15" x14ac:dyDescent="0.25">
      <c r="B170" s="2" t="s">
        <v>218</v>
      </c>
      <c r="C170" s="2" t="s">
        <v>757</v>
      </c>
      <c r="D170" s="7">
        <v>2023</v>
      </c>
      <c r="E170" s="7" t="s">
        <v>770</v>
      </c>
      <c r="F170" s="3">
        <v>45203</v>
      </c>
      <c r="G170" s="4">
        <v>304</v>
      </c>
      <c r="H170" s="4">
        <v>1</v>
      </c>
      <c r="I170" s="4" t="str">
        <f t="shared" si="2"/>
        <v>Early</v>
      </c>
      <c r="J170" s="2" t="s">
        <v>51</v>
      </c>
      <c r="K170" s="2" t="s">
        <v>19</v>
      </c>
      <c r="L170" s="4">
        <v>3</v>
      </c>
      <c r="M170" s="4">
        <v>229.03</v>
      </c>
      <c r="N170" s="4">
        <v>687.09</v>
      </c>
      <c r="O170" s="2" t="s">
        <v>20</v>
      </c>
      <c r="P170" t="str">
        <f>IF('Cleaned Data'!N170&gt;JOTTING!F183,"High Sales","Low Sales")</f>
        <v>High Sales</v>
      </c>
    </row>
    <row r="171" spans="2:16" ht="15" x14ac:dyDescent="0.25">
      <c r="B171" s="2" t="s">
        <v>219</v>
      </c>
      <c r="C171" s="2" t="s">
        <v>757</v>
      </c>
      <c r="D171" s="7">
        <v>2023</v>
      </c>
      <c r="E171" s="7" t="s">
        <v>764</v>
      </c>
      <c r="F171" s="3">
        <v>44971</v>
      </c>
      <c r="G171" s="4">
        <v>681</v>
      </c>
      <c r="H171" s="4">
        <v>7</v>
      </c>
      <c r="I171" s="4" t="str">
        <f t="shared" si="2"/>
        <v>Slow</v>
      </c>
      <c r="J171" s="2" t="s">
        <v>55</v>
      </c>
      <c r="K171" s="2" t="s">
        <v>57</v>
      </c>
      <c r="L171" s="4">
        <v>3</v>
      </c>
      <c r="M171" s="4">
        <v>463.79</v>
      </c>
      <c r="N171" s="4">
        <v>1391.37</v>
      </c>
      <c r="O171" s="2" t="s">
        <v>20</v>
      </c>
      <c r="P171" t="str">
        <f>IF('Cleaned Data'!N171&gt;JOTTING!F184,"High Sales","Low Sales")</f>
        <v>High Sales</v>
      </c>
    </row>
    <row r="172" spans="2:16" ht="15" x14ac:dyDescent="0.25">
      <c r="B172" s="2" t="s">
        <v>220</v>
      </c>
      <c r="C172" s="2" t="s">
        <v>755</v>
      </c>
      <c r="D172" s="7">
        <v>2023</v>
      </c>
      <c r="E172" s="7" t="s">
        <v>762</v>
      </c>
      <c r="F172" s="3">
        <v>45129</v>
      </c>
      <c r="G172" s="4">
        <v>655</v>
      </c>
      <c r="H172" s="4">
        <v>7</v>
      </c>
      <c r="I172" s="4" t="str">
        <f t="shared" si="2"/>
        <v>Slow</v>
      </c>
      <c r="J172" s="2" t="s">
        <v>30</v>
      </c>
      <c r="K172" s="2" t="s">
        <v>57</v>
      </c>
      <c r="L172" s="4">
        <v>3</v>
      </c>
      <c r="M172" s="4">
        <v>496.96</v>
      </c>
      <c r="N172" s="4">
        <v>1490.88</v>
      </c>
      <c r="O172" s="2" t="s">
        <v>20</v>
      </c>
      <c r="P172" t="str">
        <f>IF('Cleaned Data'!N172&gt;JOTTING!F185,"High Sales","Low Sales")</f>
        <v>High Sales</v>
      </c>
    </row>
    <row r="173" spans="2:16" ht="15" x14ac:dyDescent="0.25">
      <c r="B173" s="2" t="s">
        <v>221</v>
      </c>
      <c r="C173" s="2" t="s">
        <v>756</v>
      </c>
      <c r="D173" s="7">
        <v>2023</v>
      </c>
      <c r="E173" s="7" t="s">
        <v>760</v>
      </c>
      <c r="F173" s="3">
        <v>45067</v>
      </c>
      <c r="G173" s="4">
        <v>940</v>
      </c>
      <c r="H173" s="4">
        <v>2</v>
      </c>
      <c r="I173" s="4" t="str">
        <f t="shared" si="2"/>
        <v>Early</v>
      </c>
      <c r="J173" s="2" t="s">
        <v>63</v>
      </c>
      <c r="K173" s="2" t="s">
        <v>19</v>
      </c>
      <c r="L173" s="4">
        <v>3</v>
      </c>
      <c r="M173" s="4">
        <v>70.209999999999994</v>
      </c>
      <c r="N173" s="4">
        <v>210.63</v>
      </c>
      <c r="O173" s="2" t="s">
        <v>26</v>
      </c>
      <c r="P173" t="str">
        <f>IF('Cleaned Data'!N173&gt;JOTTING!F186,"High Sales","Low Sales")</f>
        <v>High Sales</v>
      </c>
    </row>
    <row r="174" spans="2:16" ht="15" x14ac:dyDescent="0.25">
      <c r="B174" s="2" t="s">
        <v>222</v>
      </c>
      <c r="C174" s="2" t="s">
        <v>753</v>
      </c>
      <c r="D174" s="7">
        <v>2023</v>
      </c>
      <c r="E174" s="7" t="s">
        <v>765</v>
      </c>
      <c r="F174" s="3">
        <v>45095</v>
      </c>
      <c r="G174" s="4">
        <v>912</v>
      </c>
      <c r="H174" s="4">
        <v>2</v>
      </c>
      <c r="I174" s="4" t="str">
        <f t="shared" si="2"/>
        <v>Early</v>
      </c>
      <c r="J174" s="2" t="s">
        <v>63</v>
      </c>
      <c r="K174" s="2" t="s">
        <v>39</v>
      </c>
      <c r="L174" s="4">
        <v>2</v>
      </c>
      <c r="M174" s="4">
        <v>392.45</v>
      </c>
      <c r="N174" s="4">
        <v>784.9</v>
      </c>
      <c r="O174" s="2" t="s">
        <v>26</v>
      </c>
      <c r="P174" t="str">
        <f>IF('Cleaned Data'!N174&gt;JOTTING!F187,"High Sales","Low Sales")</f>
        <v>High Sales</v>
      </c>
    </row>
    <row r="175" spans="2:16" ht="15" x14ac:dyDescent="0.25">
      <c r="B175" s="2" t="s">
        <v>223</v>
      </c>
      <c r="C175" s="2" t="s">
        <v>753</v>
      </c>
      <c r="D175" s="7">
        <v>2023</v>
      </c>
      <c r="E175" s="7" t="s">
        <v>768</v>
      </c>
      <c r="F175" s="3">
        <v>45148</v>
      </c>
      <c r="G175" s="4">
        <v>327</v>
      </c>
      <c r="H175" s="4">
        <v>1</v>
      </c>
      <c r="I175" s="4" t="str">
        <f t="shared" si="2"/>
        <v>Early</v>
      </c>
      <c r="J175" s="2" t="s">
        <v>18</v>
      </c>
      <c r="K175" s="2" t="s">
        <v>57</v>
      </c>
      <c r="L175" s="4">
        <v>3</v>
      </c>
      <c r="M175" s="4">
        <v>217.28</v>
      </c>
      <c r="N175" s="4">
        <v>651.84</v>
      </c>
      <c r="O175" s="2" t="s">
        <v>26</v>
      </c>
      <c r="P175" t="str">
        <f>IF('Cleaned Data'!N175&gt;JOTTING!F188,"High Sales","Low Sales")</f>
        <v>High Sales</v>
      </c>
    </row>
    <row r="176" spans="2:16" ht="15" x14ac:dyDescent="0.25">
      <c r="B176" s="2" t="s">
        <v>224</v>
      </c>
      <c r="C176" s="2" t="s">
        <v>753</v>
      </c>
      <c r="D176" s="7">
        <v>2023</v>
      </c>
      <c r="E176" s="7" t="s">
        <v>762</v>
      </c>
      <c r="F176" s="3">
        <v>45118</v>
      </c>
      <c r="G176" s="4">
        <v>795</v>
      </c>
      <c r="H176" s="4">
        <v>8</v>
      </c>
      <c r="I176" s="4" t="str">
        <f t="shared" si="2"/>
        <v>Slow</v>
      </c>
      <c r="J176" s="2" t="s">
        <v>55</v>
      </c>
      <c r="K176" s="2" t="s">
        <v>57</v>
      </c>
      <c r="L176" s="4">
        <v>1</v>
      </c>
      <c r="M176" s="4">
        <v>226.61</v>
      </c>
      <c r="N176" s="4">
        <v>226.61</v>
      </c>
      <c r="O176" s="2" t="s">
        <v>20</v>
      </c>
      <c r="P176" t="str">
        <f>IF('Cleaned Data'!N176&gt;JOTTING!F189,"High Sales","Low Sales")</f>
        <v>High Sales</v>
      </c>
    </row>
    <row r="177" spans="2:16" ht="15" x14ac:dyDescent="0.25">
      <c r="B177" s="2" t="s">
        <v>225</v>
      </c>
      <c r="C177" s="2" t="s">
        <v>757</v>
      </c>
      <c r="D177" s="7">
        <v>2023</v>
      </c>
      <c r="E177" s="7" t="s">
        <v>762</v>
      </c>
      <c r="F177" s="3">
        <v>45132</v>
      </c>
      <c r="G177" s="4">
        <v>718</v>
      </c>
      <c r="H177" s="4">
        <v>8</v>
      </c>
      <c r="I177" s="4" t="str">
        <f t="shared" si="2"/>
        <v>Slow</v>
      </c>
      <c r="J177" s="2" t="s">
        <v>55</v>
      </c>
      <c r="K177" s="2" t="s">
        <v>25</v>
      </c>
      <c r="L177" s="4">
        <v>1</v>
      </c>
      <c r="M177" s="4">
        <v>389.42</v>
      </c>
      <c r="N177" s="4">
        <v>389.42</v>
      </c>
      <c r="O177" s="2" t="s">
        <v>31</v>
      </c>
      <c r="P177" t="str">
        <f>IF('Cleaned Data'!N177&gt;JOTTING!F190,"High Sales","Low Sales")</f>
        <v>High Sales</v>
      </c>
    </row>
    <row r="178" spans="2:16" ht="15" x14ac:dyDescent="0.25">
      <c r="B178" s="2" t="s">
        <v>226</v>
      </c>
      <c r="C178" s="2" t="s">
        <v>757</v>
      </c>
      <c r="D178" s="7">
        <v>2023</v>
      </c>
      <c r="E178" s="7" t="s">
        <v>765</v>
      </c>
      <c r="F178" s="3">
        <v>45105</v>
      </c>
      <c r="G178" s="4">
        <v>695</v>
      </c>
      <c r="H178" s="4">
        <v>1</v>
      </c>
      <c r="I178" s="4" t="str">
        <f t="shared" si="2"/>
        <v>Early</v>
      </c>
      <c r="J178" s="2" t="s">
        <v>51</v>
      </c>
      <c r="K178" s="2" t="s">
        <v>25</v>
      </c>
      <c r="L178" s="4">
        <v>2</v>
      </c>
      <c r="M178" s="4">
        <v>463.29</v>
      </c>
      <c r="N178" s="4">
        <v>926.58</v>
      </c>
      <c r="O178" s="2" t="s">
        <v>43</v>
      </c>
      <c r="P178" t="str">
        <f>IF('Cleaned Data'!N178&gt;JOTTING!F191,"High Sales","Low Sales")</f>
        <v>High Sales</v>
      </c>
    </row>
    <row r="179" spans="2:16" ht="15" x14ac:dyDescent="0.25">
      <c r="B179" s="2" t="s">
        <v>227</v>
      </c>
      <c r="C179" s="2" t="s">
        <v>753</v>
      </c>
      <c r="D179" s="7">
        <v>2023</v>
      </c>
      <c r="E179" s="7" t="s">
        <v>765</v>
      </c>
      <c r="F179" s="3">
        <v>45084</v>
      </c>
      <c r="G179" s="4">
        <v>949</v>
      </c>
      <c r="H179" s="4">
        <v>8</v>
      </c>
      <c r="I179" s="4" t="str">
        <f t="shared" si="2"/>
        <v>Slow</v>
      </c>
      <c r="J179" s="2" t="s">
        <v>51</v>
      </c>
      <c r="K179" s="2" t="s">
        <v>39</v>
      </c>
      <c r="L179" s="4">
        <v>4</v>
      </c>
      <c r="M179" s="4">
        <v>477.92</v>
      </c>
      <c r="N179" s="4">
        <v>1911.68</v>
      </c>
      <c r="O179" s="2" t="s">
        <v>31</v>
      </c>
      <c r="P179" t="str">
        <f>IF('Cleaned Data'!N179&gt;JOTTING!F192,"High Sales","Low Sales")</f>
        <v>High Sales</v>
      </c>
    </row>
    <row r="180" spans="2:16" ht="15" x14ac:dyDescent="0.25">
      <c r="B180" s="2" t="s">
        <v>228</v>
      </c>
      <c r="C180" s="2" t="s">
        <v>754</v>
      </c>
      <c r="D180" s="7">
        <v>2023</v>
      </c>
      <c r="E180" s="7" t="s">
        <v>770</v>
      </c>
      <c r="F180" s="3">
        <v>45217</v>
      </c>
      <c r="G180" s="4">
        <v>349</v>
      </c>
      <c r="H180" s="4">
        <v>9</v>
      </c>
      <c r="I180" s="4" t="str">
        <f t="shared" si="2"/>
        <v>Slow</v>
      </c>
      <c r="J180" s="2" t="s">
        <v>51</v>
      </c>
      <c r="K180" s="2" t="s">
        <v>25</v>
      </c>
      <c r="L180" s="4">
        <v>1</v>
      </c>
      <c r="M180" s="4">
        <v>309.70999999999998</v>
      </c>
      <c r="N180" s="4">
        <v>309.70999999999998</v>
      </c>
      <c r="O180" s="2" t="s">
        <v>31</v>
      </c>
      <c r="P180" t="str">
        <f>IF('Cleaned Data'!N180&gt;JOTTING!F193,"High Sales","Low Sales")</f>
        <v>High Sales</v>
      </c>
    </row>
    <row r="181" spans="2:16" ht="15" x14ac:dyDescent="0.25">
      <c r="B181" s="2" t="s">
        <v>229</v>
      </c>
      <c r="C181" s="2" t="s">
        <v>753</v>
      </c>
      <c r="D181" s="7">
        <v>2023</v>
      </c>
      <c r="E181" s="7" t="s">
        <v>761</v>
      </c>
      <c r="F181" s="3">
        <v>44935</v>
      </c>
      <c r="G181" s="4">
        <v>974</v>
      </c>
      <c r="H181" s="4">
        <v>4</v>
      </c>
      <c r="I181" s="4" t="str">
        <f t="shared" si="2"/>
        <v>Standard</v>
      </c>
      <c r="J181" s="2" t="s">
        <v>24</v>
      </c>
      <c r="K181" s="2" t="s">
        <v>57</v>
      </c>
      <c r="L181" s="4">
        <v>4</v>
      </c>
      <c r="M181" s="4">
        <v>210.7</v>
      </c>
      <c r="N181" s="4">
        <v>842.8</v>
      </c>
      <c r="O181" s="2" t="s">
        <v>31</v>
      </c>
      <c r="P181" t="str">
        <f>IF('Cleaned Data'!N181&gt;JOTTING!F194,"High Sales","Low Sales")</f>
        <v>High Sales</v>
      </c>
    </row>
    <row r="182" spans="2:16" ht="15" x14ac:dyDescent="0.25">
      <c r="B182" s="2" t="s">
        <v>230</v>
      </c>
      <c r="C182" s="2" t="s">
        <v>754</v>
      </c>
      <c r="D182" s="7">
        <v>2023</v>
      </c>
      <c r="E182" s="7" t="s">
        <v>768</v>
      </c>
      <c r="F182" s="3">
        <v>45146</v>
      </c>
      <c r="G182" s="4">
        <v>540</v>
      </c>
      <c r="H182" s="4">
        <v>1</v>
      </c>
      <c r="I182" s="4" t="str">
        <f t="shared" si="2"/>
        <v>Early</v>
      </c>
      <c r="J182" s="2" t="s">
        <v>55</v>
      </c>
      <c r="K182" s="2" t="s">
        <v>19</v>
      </c>
      <c r="L182" s="4">
        <v>2</v>
      </c>
      <c r="M182" s="4">
        <v>404.4</v>
      </c>
      <c r="N182" s="4">
        <v>808.8</v>
      </c>
      <c r="O182" s="2" t="s">
        <v>20</v>
      </c>
      <c r="P182" t="str">
        <f>IF('Cleaned Data'!N182&gt;JOTTING!F195,"High Sales","Low Sales")</f>
        <v>High Sales</v>
      </c>
    </row>
    <row r="183" spans="2:16" ht="15" x14ac:dyDescent="0.25">
      <c r="B183" s="2" t="s">
        <v>231</v>
      </c>
      <c r="C183" s="2" t="s">
        <v>753</v>
      </c>
      <c r="D183" s="7">
        <v>2023</v>
      </c>
      <c r="E183" s="7" t="s">
        <v>762</v>
      </c>
      <c r="F183" s="3">
        <v>45134</v>
      </c>
      <c r="G183" s="4">
        <v>632</v>
      </c>
      <c r="H183" s="4">
        <v>1</v>
      </c>
      <c r="I183" s="4" t="str">
        <f t="shared" si="2"/>
        <v>Early</v>
      </c>
      <c r="J183" s="2" t="s">
        <v>18</v>
      </c>
      <c r="K183" s="2" t="s">
        <v>49</v>
      </c>
      <c r="L183" s="4">
        <v>4</v>
      </c>
      <c r="M183" s="4">
        <v>162.94999999999999</v>
      </c>
      <c r="N183" s="4">
        <v>651.79999999999995</v>
      </c>
      <c r="O183" s="2" t="s">
        <v>43</v>
      </c>
      <c r="P183" t="str">
        <f>IF('Cleaned Data'!N183&gt;JOTTING!F196,"High Sales","Low Sales")</f>
        <v>High Sales</v>
      </c>
    </row>
    <row r="184" spans="2:16" ht="15" x14ac:dyDescent="0.25">
      <c r="B184" s="2" t="s">
        <v>232</v>
      </c>
      <c r="C184" s="2" t="s">
        <v>756</v>
      </c>
      <c r="D184" s="7">
        <v>2023</v>
      </c>
      <c r="E184" s="7" t="s">
        <v>766</v>
      </c>
      <c r="F184" s="3">
        <v>45191</v>
      </c>
      <c r="G184" s="4">
        <v>295</v>
      </c>
      <c r="H184" s="4">
        <v>3</v>
      </c>
      <c r="I184" s="4" t="str">
        <f t="shared" si="2"/>
        <v>Standard</v>
      </c>
      <c r="J184" s="2" t="s">
        <v>42</v>
      </c>
      <c r="K184" s="2" t="s">
        <v>57</v>
      </c>
      <c r="L184" s="4">
        <v>4</v>
      </c>
      <c r="M184" s="4">
        <v>303.83</v>
      </c>
      <c r="N184" s="4">
        <v>1215.32</v>
      </c>
      <c r="O184" s="2" t="s">
        <v>26</v>
      </c>
      <c r="P184" t="str">
        <f>IF('Cleaned Data'!N184&gt;JOTTING!F197,"High Sales","Low Sales")</f>
        <v>High Sales</v>
      </c>
    </row>
    <row r="185" spans="2:16" ht="15" x14ac:dyDescent="0.25">
      <c r="B185" s="2" t="s">
        <v>233</v>
      </c>
      <c r="C185" s="2" t="s">
        <v>757</v>
      </c>
      <c r="D185" s="7">
        <v>2023</v>
      </c>
      <c r="E185" s="7" t="s">
        <v>768</v>
      </c>
      <c r="F185" s="3">
        <v>45150</v>
      </c>
      <c r="G185" s="4">
        <v>789</v>
      </c>
      <c r="H185" s="4">
        <v>5</v>
      </c>
      <c r="I185" s="4" t="str">
        <f t="shared" si="2"/>
        <v>Standard</v>
      </c>
      <c r="J185" s="2" t="s">
        <v>30</v>
      </c>
      <c r="K185" s="2" t="s">
        <v>57</v>
      </c>
      <c r="L185" s="4">
        <v>4</v>
      </c>
      <c r="M185" s="4">
        <v>211.36</v>
      </c>
      <c r="N185" s="4">
        <v>845.44</v>
      </c>
      <c r="O185" s="2" t="s">
        <v>43</v>
      </c>
      <c r="P185" t="str">
        <f>IF('Cleaned Data'!N185&gt;JOTTING!F198,"High Sales","Low Sales")</f>
        <v>High Sales</v>
      </c>
    </row>
    <row r="186" spans="2:16" ht="15" x14ac:dyDescent="0.25">
      <c r="B186" s="2" t="s">
        <v>234</v>
      </c>
      <c r="C186" s="2" t="s">
        <v>753</v>
      </c>
      <c r="D186" s="7">
        <v>2023</v>
      </c>
      <c r="E186" s="7" t="s">
        <v>759</v>
      </c>
      <c r="F186" s="3">
        <v>45233</v>
      </c>
      <c r="G186" s="4">
        <v>618</v>
      </c>
      <c r="H186" s="4">
        <v>5</v>
      </c>
      <c r="I186" s="4" t="str">
        <f t="shared" si="2"/>
        <v>Standard</v>
      </c>
      <c r="J186" s="2" t="s">
        <v>42</v>
      </c>
      <c r="K186" s="2" t="s">
        <v>25</v>
      </c>
      <c r="L186" s="4">
        <v>4</v>
      </c>
      <c r="M186" s="4">
        <v>345.48</v>
      </c>
      <c r="N186" s="4">
        <v>1381.92</v>
      </c>
      <c r="O186" s="2" t="s">
        <v>43</v>
      </c>
      <c r="P186" t="str">
        <f>IF('Cleaned Data'!N186&gt;JOTTING!F199,"High Sales","Low Sales")</f>
        <v>High Sales</v>
      </c>
    </row>
    <row r="187" spans="2:16" ht="15" x14ac:dyDescent="0.25">
      <c r="B187" s="2" t="s">
        <v>235</v>
      </c>
      <c r="C187" s="2" t="s">
        <v>754</v>
      </c>
      <c r="D187" s="7">
        <v>2023</v>
      </c>
      <c r="E187" s="7" t="s">
        <v>763</v>
      </c>
      <c r="F187" s="3">
        <v>45286</v>
      </c>
      <c r="G187" s="4">
        <v>169</v>
      </c>
      <c r="H187" s="4">
        <v>9</v>
      </c>
      <c r="I187" s="4" t="str">
        <f t="shared" si="2"/>
        <v>Slow</v>
      </c>
      <c r="J187" s="2" t="s">
        <v>55</v>
      </c>
      <c r="K187" s="2" t="s">
        <v>25</v>
      </c>
      <c r="L187" s="4">
        <v>2</v>
      </c>
      <c r="M187" s="4">
        <v>158.18</v>
      </c>
      <c r="N187" s="4">
        <v>316.36</v>
      </c>
      <c r="O187" s="2" t="s">
        <v>26</v>
      </c>
      <c r="P187" t="str">
        <f>IF('Cleaned Data'!N187&gt;JOTTING!F200,"High Sales","Low Sales")</f>
        <v>High Sales</v>
      </c>
    </row>
    <row r="188" spans="2:16" ht="15" x14ac:dyDescent="0.25">
      <c r="B188" s="2" t="s">
        <v>236</v>
      </c>
      <c r="C188" s="2" t="s">
        <v>753</v>
      </c>
      <c r="D188" s="7">
        <v>2023</v>
      </c>
      <c r="E188" s="7" t="s">
        <v>760</v>
      </c>
      <c r="F188" s="3">
        <v>45054</v>
      </c>
      <c r="G188" s="4">
        <v>738</v>
      </c>
      <c r="H188" s="4">
        <v>2</v>
      </c>
      <c r="I188" s="4" t="str">
        <f t="shared" si="2"/>
        <v>Early</v>
      </c>
      <c r="J188" s="2" t="s">
        <v>24</v>
      </c>
      <c r="K188" s="2" t="s">
        <v>57</v>
      </c>
      <c r="L188" s="4">
        <v>1</v>
      </c>
      <c r="M188" s="4">
        <v>136.22</v>
      </c>
      <c r="N188" s="4">
        <v>136.22</v>
      </c>
      <c r="O188" s="2" t="s">
        <v>20</v>
      </c>
      <c r="P188" t="str">
        <f>IF('Cleaned Data'!N188&gt;JOTTING!F201,"High Sales","Low Sales")</f>
        <v>High Sales</v>
      </c>
    </row>
    <row r="189" spans="2:16" ht="15" x14ac:dyDescent="0.25">
      <c r="B189" s="2" t="s">
        <v>237</v>
      </c>
      <c r="C189" s="2" t="s">
        <v>756</v>
      </c>
      <c r="D189" s="7">
        <v>2023</v>
      </c>
      <c r="E189" s="7" t="s">
        <v>767</v>
      </c>
      <c r="F189" s="3">
        <v>45011</v>
      </c>
      <c r="G189" s="4">
        <v>498</v>
      </c>
      <c r="H189" s="4">
        <v>2</v>
      </c>
      <c r="I189" s="4" t="str">
        <f t="shared" si="2"/>
        <v>Early</v>
      </c>
      <c r="J189" s="2" t="s">
        <v>63</v>
      </c>
      <c r="K189" s="2" t="s">
        <v>57</v>
      </c>
      <c r="L189" s="4">
        <v>3</v>
      </c>
      <c r="M189" s="4">
        <v>463.21</v>
      </c>
      <c r="N189" s="4">
        <v>1389.63</v>
      </c>
      <c r="O189" s="2" t="s">
        <v>20</v>
      </c>
      <c r="P189" t="str">
        <f>IF('Cleaned Data'!N189&gt;JOTTING!F202,"High Sales","Low Sales")</f>
        <v>High Sales</v>
      </c>
    </row>
    <row r="190" spans="2:16" ht="15" x14ac:dyDescent="0.25">
      <c r="B190" s="2" t="s">
        <v>238</v>
      </c>
      <c r="C190" s="2" t="s">
        <v>755</v>
      </c>
      <c r="D190" s="7">
        <v>2023</v>
      </c>
      <c r="E190" s="7" t="s">
        <v>765</v>
      </c>
      <c r="F190" s="3">
        <v>45087</v>
      </c>
      <c r="G190" s="4">
        <v>771</v>
      </c>
      <c r="H190" s="4">
        <v>6</v>
      </c>
      <c r="I190" s="4" t="str">
        <f t="shared" si="2"/>
        <v>Standard</v>
      </c>
      <c r="J190" s="2" t="s">
        <v>30</v>
      </c>
      <c r="K190" s="2" t="s">
        <v>25</v>
      </c>
      <c r="L190" s="4">
        <v>4</v>
      </c>
      <c r="M190" s="4">
        <v>95.81</v>
      </c>
      <c r="N190" s="4">
        <v>383.24</v>
      </c>
      <c r="O190" s="2" t="s">
        <v>20</v>
      </c>
      <c r="P190" t="str">
        <f>IF('Cleaned Data'!N190&gt;JOTTING!F203,"High Sales","Low Sales")</f>
        <v>High Sales</v>
      </c>
    </row>
    <row r="191" spans="2:16" ht="15" x14ac:dyDescent="0.25">
      <c r="B191" s="2" t="s">
        <v>239</v>
      </c>
      <c r="C191" s="2" t="s">
        <v>753</v>
      </c>
      <c r="D191" s="7">
        <v>2023</v>
      </c>
      <c r="E191" s="7" t="s">
        <v>769</v>
      </c>
      <c r="F191" s="3">
        <v>45041</v>
      </c>
      <c r="G191" s="4">
        <v>859</v>
      </c>
      <c r="H191" s="4">
        <v>9</v>
      </c>
      <c r="I191" s="4" t="str">
        <f t="shared" si="2"/>
        <v>Slow</v>
      </c>
      <c r="J191" s="2" t="s">
        <v>55</v>
      </c>
      <c r="K191" s="2" t="s">
        <v>57</v>
      </c>
      <c r="L191" s="4">
        <v>1</v>
      </c>
      <c r="M191" s="4">
        <v>277.68</v>
      </c>
      <c r="N191" s="4">
        <v>277.68</v>
      </c>
      <c r="O191" s="2" t="s">
        <v>31</v>
      </c>
      <c r="P191" t="str">
        <f>IF('Cleaned Data'!N191&gt;JOTTING!F204,"High Sales","Low Sales")</f>
        <v>High Sales</v>
      </c>
    </row>
    <row r="192" spans="2:16" ht="15" x14ac:dyDescent="0.25">
      <c r="B192" s="2" t="s">
        <v>240</v>
      </c>
      <c r="C192" s="2" t="s">
        <v>755</v>
      </c>
      <c r="D192" s="7">
        <v>2023</v>
      </c>
      <c r="E192" s="7" t="s">
        <v>768</v>
      </c>
      <c r="F192" s="3">
        <v>45152</v>
      </c>
      <c r="G192" s="4">
        <v>302</v>
      </c>
      <c r="H192" s="4">
        <v>1</v>
      </c>
      <c r="I192" s="4" t="str">
        <f t="shared" si="2"/>
        <v>Early</v>
      </c>
      <c r="J192" s="2" t="s">
        <v>24</v>
      </c>
      <c r="K192" s="2" t="s">
        <v>25</v>
      </c>
      <c r="L192" s="4">
        <v>1</v>
      </c>
      <c r="M192" s="4">
        <v>149.38</v>
      </c>
      <c r="N192" s="4">
        <v>149.38</v>
      </c>
      <c r="O192" s="2" t="s">
        <v>31</v>
      </c>
      <c r="P192" t="str">
        <f>IF('Cleaned Data'!N192&gt;JOTTING!F205,"High Sales","Low Sales")</f>
        <v>High Sales</v>
      </c>
    </row>
    <row r="193" spans="2:16" ht="15" x14ac:dyDescent="0.25">
      <c r="B193" s="2" t="s">
        <v>241</v>
      </c>
      <c r="C193" s="2" t="s">
        <v>756</v>
      </c>
      <c r="D193" s="7">
        <v>2023</v>
      </c>
      <c r="E193" s="7" t="s">
        <v>763</v>
      </c>
      <c r="F193" s="3">
        <v>45268</v>
      </c>
      <c r="G193" s="4">
        <v>247</v>
      </c>
      <c r="H193" s="4">
        <v>9</v>
      </c>
      <c r="I193" s="4" t="str">
        <f t="shared" si="2"/>
        <v>Slow</v>
      </c>
      <c r="J193" s="2" t="s">
        <v>42</v>
      </c>
      <c r="K193" s="2" t="s">
        <v>25</v>
      </c>
      <c r="L193" s="4">
        <v>2</v>
      </c>
      <c r="M193" s="4">
        <v>67.52</v>
      </c>
      <c r="N193" s="4">
        <v>135.04</v>
      </c>
      <c r="O193" s="2" t="s">
        <v>26</v>
      </c>
      <c r="P193" t="str">
        <f>IF('Cleaned Data'!N193&gt;JOTTING!F206,"High Sales","Low Sales")</f>
        <v>High Sales</v>
      </c>
    </row>
    <row r="194" spans="2:16" ht="15" x14ac:dyDescent="0.25">
      <c r="B194" s="2" t="s">
        <v>242</v>
      </c>
      <c r="C194" s="2" t="s">
        <v>753</v>
      </c>
      <c r="D194" s="7">
        <v>2023</v>
      </c>
      <c r="E194" s="7" t="s">
        <v>767</v>
      </c>
      <c r="F194" s="3">
        <v>44986</v>
      </c>
      <c r="G194" s="4">
        <v>571</v>
      </c>
      <c r="H194" s="4">
        <v>9</v>
      </c>
      <c r="I194" s="4" t="str">
        <f t="shared" si="2"/>
        <v>Slow</v>
      </c>
      <c r="J194" s="2" t="s">
        <v>51</v>
      </c>
      <c r="K194" s="2" t="s">
        <v>49</v>
      </c>
      <c r="L194" s="4">
        <v>1</v>
      </c>
      <c r="M194" s="4">
        <v>66.209999999999994</v>
      </c>
      <c r="N194" s="4">
        <v>66.209999999999994</v>
      </c>
      <c r="O194" s="2" t="s">
        <v>26</v>
      </c>
      <c r="P194" t="str">
        <f>IF('Cleaned Data'!N194&gt;JOTTING!F207,"High Sales","Low Sales")</f>
        <v>High Sales</v>
      </c>
    </row>
    <row r="195" spans="2:16" ht="15" x14ac:dyDescent="0.25">
      <c r="B195" s="2" t="s">
        <v>243</v>
      </c>
      <c r="C195" s="2" t="s">
        <v>754</v>
      </c>
      <c r="D195" s="7">
        <v>2023</v>
      </c>
      <c r="E195" s="7" t="s">
        <v>764</v>
      </c>
      <c r="F195" s="3">
        <v>44972</v>
      </c>
      <c r="G195" s="4">
        <v>754</v>
      </c>
      <c r="H195" s="4">
        <v>9</v>
      </c>
      <c r="I195" s="4" t="str">
        <f t="shared" ref="I195:I258" si="3">_xlfn.IFS(H195&lt;3,"Early",H195&lt;=6,"Standard",H195&lt;=9,"Slow")</f>
        <v>Slow</v>
      </c>
      <c r="J195" s="2" t="s">
        <v>51</v>
      </c>
      <c r="K195" s="2" t="s">
        <v>39</v>
      </c>
      <c r="L195" s="4">
        <v>2</v>
      </c>
      <c r="M195" s="4">
        <v>128.85</v>
      </c>
      <c r="N195" s="4">
        <v>257.7</v>
      </c>
      <c r="O195" s="2" t="s">
        <v>31</v>
      </c>
      <c r="P195" t="str">
        <f>IF('Cleaned Data'!N195&gt;JOTTING!F208,"High Sales","Low Sales")</f>
        <v>High Sales</v>
      </c>
    </row>
    <row r="196" spans="2:16" ht="15" x14ac:dyDescent="0.25">
      <c r="B196" s="2" t="s">
        <v>244</v>
      </c>
      <c r="C196" s="2" t="s">
        <v>757</v>
      </c>
      <c r="D196" s="7">
        <v>2023</v>
      </c>
      <c r="E196" s="7" t="s">
        <v>769</v>
      </c>
      <c r="F196" s="3">
        <v>45025</v>
      </c>
      <c r="G196" s="4">
        <v>298</v>
      </c>
      <c r="H196" s="4">
        <v>5</v>
      </c>
      <c r="I196" s="4" t="str">
        <f t="shared" si="3"/>
        <v>Standard</v>
      </c>
      <c r="J196" s="2" t="s">
        <v>63</v>
      </c>
      <c r="K196" s="2" t="s">
        <v>39</v>
      </c>
      <c r="L196" s="4">
        <v>4</v>
      </c>
      <c r="M196" s="4">
        <v>440.05</v>
      </c>
      <c r="N196" s="4">
        <v>1760.2</v>
      </c>
      <c r="O196" s="2" t="s">
        <v>20</v>
      </c>
      <c r="P196" t="str">
        <f>IF('Cleaned Data'!N196&gt;JOTTING!F209,"High Sales","Low Sales")</f>
        <v>High Sales</v>
      </c>
    </row>
    <row r="197" spans="2:16" ht="15" x14ac:dyDescent="0.25">
      <c r="B197" s="2" t="s">
        <v>245</v>
      </c>
      <c r="C197" s="2" t="s">
        <v>754</v>
      </c>
      <c r="D197" s="7">
        <v>2023</v>
      </c>
      <c r="E197" s="7" t="s">
        <v>770</v>
      </c>
      <c r="F197" s="3">
        <v>45201</v>
      </c>
      <c r="G197" s="4">
        <v>525</v>
      </c>
      <c r="H197" s="4">
        <v>9</v>
      </c>
      <c r="I197" s="4" t="str">
        <f t="shared" si="3"/>
        <v>Slow</v>
      </c>
      <c r="J197" s="2" t="s">
        <v>24</v>
      </c>
      <c r="K197" s="2" t="s">
        <v>19</v>
      </c>
      <c r="L197" s="4">
        <v>4</v>
      </c>
      <c r="M197" s="4">
        <v>177.12</v>
      </c>
      <c r="N197" s="4">
        <v>708.48</v>
      </c>
      <c r="O197" s="2" t="s">
        <v>43</v>
      </c>
      <c r="P197" t="str">
        <f>IF('Cleaned Data'!N197&gt;JOTTING!F210,"High Sales","Low Sales")</f>
        <v>High Sales</v>
      </c>
    </row>
    <row r="198" spans="2:16" ht="15" x14ac:dyDescent="0.25">
      <c r="B198" s="2" t="s">
        <v>246</v>
      </c>
      <c r="C198" s="2" t="s">
        <v>755</v>
      </c>
      <c r="D198" s="7">
        <v>2023</v>
      </c>
      <c r="E198" s="7" t="s">
        <v>768</v>
      </c>
      <c r="F198" s="3">
        <v>45147</v>
      </c>
      <c r="G198" s="4">
        <v>765</v>
      </c>
      <c r="H198" s="4">
        <v>4</v>
      </c>
      <c r="I198" s="4" t="str">
        <f t="shared" si="3"/>
        <v>Standard</v>
      </c>
      <c r="J198" s="2" t="s">
        <v>51</v>
      </c>
      <c r="K198" s="2" t="s">
        <v>49</v>
      </c>
      <c r="L198" s="4">
        <v>3</v>
      </c>
      <c r="M198" s="4">
        <v>477.71</v>
      </c>
      <c r="N198" s="4">
        <v>1433.13</v>
      </c>
      <c r="O198" s="2" t="s">
        <v>31</v>
      </c>
      <c r="P198" t="str">
        <f>IF('Cleaned Data'!N198&gt;JOTTING!F211,"High Sales","Low Sales")</f>
        <v>High Sales</v>
      </c>
    </row>
    <row r="199" spans="2:16" ht="15" x14ac:dyDescent="0.25">
      <c r="B199" s="2" t="s">
        <v>247</v>
      </c>
      <c r="C199" s="2" t="s">
        <v>753</v>
      </c>
      <c r="D199" s="7">
        <v>2023</v>
      </c>
      <c r="E199" s="7" t="s">
        <v>764</v>
      </c>
      <c r="F199" s="3">
        <v>44966</v>
      </c>
      <c r="G199" s="4">
        <v>591</v>
      </c>
      <c r="H199" s="4">
        <v>2</v>
      </c>
      <c r="I199" s="4" t="str">
        <f t="shared" si="3"/>
        <v>Early</v>
      </c>
      <c r="J199" s="2" t="s">
        <v>18</v>
      </c>
      <c r="K199" s="2" t="s">
        <v>19</v>
      </c>
      <c r="L199" s="4">
        <v>3</v>
      </c>
      <c r="M199" s="4">
        <v>311.73</v>
      </c>
      <c r="N199" s="4">
        <v>935.19</v>
      </c>
      <c r="O199" s="2" t="s">
        <v>43</v>
      </c>
      <c r="P199" t="str">
        <f>IF('Cleaned Data'!N199&gt;JOTTING!F212,"High Sales","Low Sales")</f>
        <v>High Sales</v>
      </c>
    </row>
    <row r="200" spans="2:16" ht="15" x14ac:dyDescent="0.25">
      <c r="B200" s="2" t="s">
        <v>248</v>
      </c>
      <c r="C200" s="2" t="s">
        <v>757</v>
      </c>
      <c r="D200" s="7">
        <v>2023</v>
      </c>
      <c r="E200" s="7" t="s">
        <v>763</v>
      </c>
      <c r="F200" s="3">
        <v>45268</v>
      </c>
      <c r="G200" s="4">
        <v>987</v>
      </c>
      <c r="H200" s="4">
        <v>6</v>
      </c>
      <c r="I200" s="4" t="str">
        <f t="shared" si="3"/>
        <v>Standard</v>
      </c>
      <c r="J200" s="2" t="s">
        <v>42</v>
      </c>
      <c r="K200" s="2" t="s">
        <v>39</v>
      </c>
      <c r="L200" s="4">
        <v>3</v>
      </c>
      <c r="M200" s="4">
        <v>246.48</v>
      </c>
      <c r="N200" s="4">
        <v>739.44</v>
      </c>
      <c r="O200" s="2" t="s">
        <v>20</v>
      </c>
      <c r="P200" t="str">
        <f>IF('Cleaned Data'!N200&gt;JOTTING!F213,"High Sales","Low Sales")</f>
        <v>High Sales</v>
      </c>
    </row>
    <row r="201" spans="2:16" ht="15" x14ac:dyDescent="0.25">
      <c r="B201" s="2" t="s">
        <v>249</v>
      </c>
      <c r="C201" s="2" t="s">
        <v>755</v>
      </c>
      <c r="D201" s="7">
        <v>2023</v>
      </c>
      <c r="E201" s="7" t="s">
        <v>770</v>
      </c>
      <c r="F201" s="3">
        <v>45219</v>
      </c>
      <c r="G201" s="4">
        <v>995</v>
      </c>
      <c r="H201" s="4">
        <v>4</v>
      </c>
      <c r="I201" s="4" t="str">
        <f t="shared" si="3"/>
        <v>Standard</v>
      </c>
      <c r="J201" s="2" t="s">
        <v>42</v>
      </c>
      <c r="K201" s="2" t="s">
        <v>57</v>
      </c>
      <c r="L201" s="4">
        <v>1</v>
      </c>
      <c r="M201" s="4">
        <v>311.04000000000002</v>
      </c>
      <c r="N201" s="4">
        <v>311.04000000000002</v>
      </c>
      <c r="O201" s="2" t="s">
        <v>43</v>
      </c>
      <c r="P201" t="str">
        <f>IF('Cleaned Data'!N201&gt;JOTTING!F214,"High Sales","Low Sales")</f>
        <v>High Sales</v>
      </c>
    </row>
    <row r="202" spans="2:16" ht="15" x14ac:dyDescent="0.25">
      <c r="B202" s="2" t="s">
        <v>250</v>
      </c>
      <c r="C202" s="2" t="s">
        <v>756</v>
      </c>
      <c r="D202" s="7">
        <v>2023</v>
      </c>
      <c r="E202" s="7" t="s">
        <v>761</v>
      </c>
      <c r="F202" s="3">
        <v>44941</v>
      </c>
      <c r="G202" s="4">
        <v>241</v>
      </c>
      <c r="H202" s="4">
        <v>6</v>
      </c>
      <c r="I202" s="4" t="str">
        <f t="shared" si="3"/>
        <v>Standard</v>
      </c>
      <c r="J202" s="2" t="s">
        <v>63</v>
      </c>
      <c r="K202" s="2" t="s">
        <v>49</v>
      </c>
      <c r="L202" s="4">
        <v>4</v>
      </c>
      <c r="M202" s="4">
        <v>282.51</v>
      </c>
      <c r="N202" s="4">
        <v>1130.04</v>
      </c>
      <c r="O202" s="2" t="s">
        <v>43</v>
      </c>
      <c r="P202" t="str">
        <f>IF('Cleaned Data'!N202&gt;JOTTING!F215,"High Sales","Low Sales")</f>
        <v>High Sales</v>
      </c>
    </row>
    <row r="203" spans="2:16" ht="15" x14ac:dyDescent="0.25">
      <c r="B203" s="2" t="s">
        <v>251</v>
      </c>
      <c r="C203" s="2" t="s">
        <v>757</v>
      </c>
      <c r="D203" s="7">
        <v>2023</v>
      </c>
      <c r="E203" s="7" t="s">
        <v>768</v>
      </c>
      <c r="F203" s="3">
        <v>45167</v>
      </c>
      <c r="G203" s="4">
        <v>412</v>
      </c>
      <c r="H203" s="4">
        <v>3</v>
      </c>
      <c r="I203" s="4" t="str">
        <f t="shared" si="3"/>
        <v>Standard</v>
      </c>
      <c r="J203" s="2" t="s">
        <v>55</v>
      </c>
      <c r="K203" s="2" t="s">
        <v>49</v>
      </c>
      <c r="L203" s="4">
        <v>2</v>
      </c>
      <c r="M203" s="4">
        <v>391.45</v>
      </c>
      <c r="N203" s="4">
        <v>782.9</v>
      </c>
      <c r="O203" s="2" t="s">
        <v>26</v>
      </c>
      <c r="P203" t="str">
        <f>IF('Cleaned Data'!N203&gt;JOTTING!F216,"High Sales","Low Sales")</f>
        <v>High Sales</v>
      </c>
    </row>
    <row r="204" spans="2:16" ht="15" x14ac:dyDescent="0.25">
      <c r="B204" s="2" t="s">
        <v>252</v>
      </c>
      <c r="C204" s="2" t="s">
        <v>754</v>
      </c>
      <c r="D204" s="7">
        <v>2023</v>
      </c>
      <c r="E204" s="7" t="s">
        <v>770</v>
      </c>
      <c r="F204" s="3">
        <v>45214</v>
      </c>
      <c r="G204" s="4">
        <v>264</v>
      </c>
      <c r="H204" s="4">
        <v>6</v>
      </c>
      <c r="I204" s="4" t="str">
        <f t="shared" si="3"/>
        <v>Standard</v>
      </c>
      <c r="J204" s="2" t="s">
        <v>63</v>
      </c>
      <c r="K204" s="2" t="s">
        <v>19</v>
      </c>
      <c r="L204" s="4">
        <v>3</v>
      </c>
      <c r="M204" s="4">
        <v>177.12</v>
      </c>
      <c r="N204" s="4">
        <v>531.36</v>
      </c>
      <c r="O204" s="2" t="s">
        <v>20</v>
      </c>
      <c r="P204" t="str">
        <f>IF('Cleaned Data'!N204&gt;JOTTING!F217,"High Sales","Low Sales")</f>
        <v>High Sales</v>
      </c>
    </row>
    <row r="205" spans="2:16" ht="15" x14ac:dyDescent="0.25">
      <c r="B205" s="2" t="s">
        <v>253</v>
      </c>
      <c r="C205" s="2" t="s">
        <v>757</v>
      </c>
      <c r="D205" s="7">
        <v>2023</v>
      </c>
      <c r="E205" s="7" t="s">
        <v>760</v>
      </c>
      <c r="F205" s="3">
        <v>45065</v>
      </c>
      <c r="G205" s="4">
        <v>413</v>
      </c>
      <c r="H205" s="4">
        <v>2</v>
      </c>
      <c r="I205" s="4" t="str">
        <f t="shared" si="3"/>
        <v>Early</v>
      </c>
      <c r="J205" s="2" t="s">
        <v>42</v>
      </c>
      <c r="K205" s="2" t="s">
        <v>25</v>
      </c>
      <c r="L205" s="4">
        <v>2</v>
      </c>
      <c r="M205" s="4">
        <v>208.87</v>
      </c>
      <c r="N205" s="4">
        <v>417.74</v>
      </c>
      <c r="O205" s="2" t="s">
        <v>26</v>
      </c>
      <c r="P205" t="str">
        <f>IF('Cleaned Data'!N205&gt;JOTTING!F218,"High Sales","Low Sales")</f>
        <v>High Sales</v>
      </c>
    </row>
    <row r="206" spans="2:16" ht="15" x14ac:dyDescent="0.25">
      <c r="B206" s="2" t="s">
        <v>254</v>
      </c>
      <c r="C206" s="2" t="s">
        <v>754</v>
      </c>
      <c r="D206" s="7">
        <v>2023</v>
      </c>
      <c r="E206" s="7" t="s">
        <v>761</v>
      </c>
      <c r="F206" s="3">
        <v>44954</v>
      </c>
      <c r="G206" s="4">
        <v>120</v>
      </c>
      <c r="H206" s="4">
        <v>2</v>
      </c>
      <c r="I206" s="4" t="str">
        <f t="shared" si="3"/>
        <v>Early</v>
      </c>
      <c r="J206" s="2" t="s">
        <v>30</v>
      </c>
      <c r="K206" s="2" t="s">
        <v>25</v>
      </c>
      <c r="L206" s="4">
        <v>2</v>
      </c>
      <c r="M206" s="4">
        <v>452.34</v>
      </c>
      <c r="N206" s="4">
        <v>904.68</v>
      </c>
      <c r="O206" s="2" t="s">
        <v>31</v>
      </c>
      <c r="P206" t="str">
        <f>IF('Cleaned Data'!N206&gt;JOTTING!F219,"High Sales","Low Sales")</f>
        <v>High Sales</v>
      </c>
    </row>
    <row r="207" spans="2:16" ht="15" x14ac:dyDescent="0.25">
      <c r="B207" s="2" t="s">
        <v>255</v>
      </c>
      <c r="C207" s="2" t="s">
        <v>755</v>
      </c>
      <c r="D207" s="7">
        <v>2023</v>
      </c>
      <c r="E207" s="7" t="s">
        <v>764</v>
      </c>
      <c r="F207" s="3">
        <v>44964</v>
      </c>
      <c r="G207" s="4">
        <v>181</v>
      </c>
      <c r="H207" s="4">
        <v>9</v>
      </c>
      <c r="I207" s="4" t="str">
        <f t="shared" si="3"/>
        <v>Slow</v>
      </c>
      <c r="J207" s="2" t="s">
        <v>55</v>
      </c>
      <c r="K207" s="2" t="s">
        <v>49</v>
      </c>
      <c r="L207" s="4">
        <v>3</v>
      </c>
      <c r="M207" s="4">
        <v>475.91</v>
      </c>
      <c r="N207" s="4">
        <v>1427.73</v>
      </c>
      <c r="O207" s="2" t="s">
        <v>31</v>
      </c>
      <c r="P207" t="str">
        <f>IF('Cleaned Data'!N207&gt;JOTTING!F220,"High Sales","Low Sales")</f>
        <v>High Sales</v>
      </c>
    </row>
    <row r="208" spans="2:16" ht="15" x14ac:dyDescent="0.25">
      <c r="B208" s="2" t="s">
        <v>256</v>
      </c>
      <c r="C208" s="2" t="s">
        <v>756</v>
      </c>
      <c r="D208" s="7">
        <v>2023</v>
      </c>
      <c r="E208" s="7" t="s">
        <v>764</v>
      </c>
      <c r="F208" s="3">
        <v>44972</v>
      </c>
      <c r="G208" s="4">
        <v>680</v>
      </c>
      <c r="H208" s="4">
        <v>7</v>
      </c>
      <c r="I208" s="4" t="str">
        <f t="shared" si="3"/>
        <v>Slow</v>
      </c>
      <c r="J208" s="2" t="s">
        <v>51</v>
      </c>
      <c r="K208" s="2" t="s">
        <v>57</v>
      </c>
      <c r="L208" s="4">
        <v>4</v>
      </c>
      <c r="M208" s="4">
        <v>451.65</v>
      </c>
      <c r="N208" s="4">
        <v>1806.6</v>
      </c>
      <c r="O208" s="2" t="s">
        <v>20</v>
      </c>
      <c r="P208" t="str">
        <f>IF('Cleaned Data'!N208&gt;JOTTING!F221,"High Sales","Low Sales")</f>
        <v>High Sales</v>
      </c>
    </row>
    <row r="209" spans="2:16" ht="15" x14ac:dyDescent="0.25">
      <c r="B209" s="2" t="s">
        <v>257</v>
      </c>
      <c r="C209" s="2" t="s">
        <v>753</v>
      </c>
      <c r="D209" s="7">
        <v>2023</v>
      </c>
      <c r="E209" s="7" t="s">
        <v>759</v>
      </c>
      <c r="F209" s="3">
        <v>45236</v>
      </c>
      <c r="G209" s="4">
        <v>230</v>
      </c>
      <c r="H209" s="4">
        <v>3</v>
      </c>
      <c r="I209" s="4" t="str">
        <f t="shared" si="3"/>
        <v>Standard</v>
      </c>
      <c r="J209" s="2" t="s">
        <v>24</v>
      </c>
      <c r="K209" s="2" t="s">
        <v>49</v>
      </c>
      <c r="L209" s="4">
        <v>3</v>
      </c>
      <c r="M209" s="4">
        <v>238.75</v>
      </c>
      <c r="N209" s="4">
        <v>716.25</v>
      </c>
      <c r="O209" s="2" t="s">
        <v>20</v>
      </c>
      <c r="P209" t="str">
        <f>IF('Cleaned Data'!N209&gt;JOTTING!F222,"High Sales","Low Sales")</f>
        <v>High Sales</v>
      </c>
    </row>
    <row r="210" spans="2:16" ht="15" x14ac:dyDescent="0.25">
      <c r="B210" s="2" t="s">
        <v>258</v>
      </c>
      <c r="C210" s="2" t="s">
        <v>754</v>
      </c>
      <c r="D210" s="7">
        <v>2023</v>
      </c>
      <c r="E210" s="7" t="s">
        <v>759</v>
      </c>
      <c r="F210" s="3">
        <v>45260</v>
      </c>
      <c r="G210" s="4">
        <v>698</v>
      </c>
      <c r="H210" s="4">
        <v>1</v>
      </c>
      <c r="I210" s="4" t="str">
        <f t="shared" si="3"/>
        <v>Early</v>
      </c>
      <c r="J210" s="2" t="s">
        <v>18</v>
      </c>
      <c r="K210" s="2" t="s">
        <v>19</v>
      </c>
      <c r="L210" s="4">
        <v>2</v>
      </c>
      <c r="M210" s="4">
        <v>401.16</v>
      </c>
      <c r="N210" s="4">
        <v>802.32</v>
      </c>
      <c r="O210" s="2" t="s">
        <v>20</v>
      </c>
      <c r="P210" t="str">
        <f>IF('Cleaned Data'!N210&gt;JOTTING!F223,"High Sales","Low Sales")</f>
        <v>High Sales</v>
      </c>
    </row>
    <row r="211" spans="2:16" ht="15" x14ac:dyDescent="0.25">
      <c r="B211" s="2" t="s">
        <v>259</v>
      </c>
      <c r="C211" s="2" t="s">
        <v>755</v>
      </c>
      <c r="D211" s="7">
        <v>2023</v>
      </c>
      <c r="E211" s="7" t="s">
        <v>764</v>
      </c>
      <c r="F211" s="3">
        <v>44979</v>
      </c>
      <c r="G211" s="4">
        <v>829</v>
      </c>
      <c r="H211" s="4">
        <v>8</v>
      </c>
      <c r="I211" s="4" t="str">
        <f t="shared" si="3"/>
        <v>Slow</v>
      </c>
      <c r="J211" s="2" t="s">
        <v>51</v>
      </c>
      <c r="K211" s="2" t="s">
        <v>39</v>
      </c>
      <c r="L211" s="4">
        <v>3</v>
      </c>
      <c r="M211" s="4">
        <v>264.35000000000002</v>
      </c>
      <c r="N211" s="4">
        <v>793.05</v>
      </c>
      <c r="O211" s="2" t="s">
        <v>43</v>
      </c>
      <c r="P211" t="str">
        <f>IF('Cleaned Data'!N211&gt;JOTTING!F224,"High Sales","Low Sales")</f>
        <v>High Sales</v>
      </c>
    </row>
    <row r="212" spans="2:16" ht="15" x14ac:dyDescent="0.25">
      <c r="B212" s="2" t="s">
        <v>260</v>
      </c>
      <c r="C212" s="2" t="s">
        <v>753</v>
      </c>
      <c r="D212" s="7">
        <v>2023</v>
      </c>
      <c r="E212" s="7" t="s">
        <v>769</v>
      </c>
      <c r="F212" s="3">
        <v>45019</v>
      </c>
      <c r="G212" s="4">
        <v>404</v>
      </c>
      <c r="H212" s="4">
        <v>6</v>
      </c>
      <c r="I212" s="4" t="str">
        <f t="shared" si="3"/>
        <v>Standard</v>
      </c>
      <c r="J212" s="2" t="s">
        <v>24</v>
      </c>
      <c r="K212" s="2" t="s">
        <v>39</v>
      </c>
      <c r="L212" s="4">
        <v>2</v>
      </c>
      <c r="M212" s="4">
        <v>273.89</v>
      </c>
      <c r="N212" s="4">
        <v>547.78</v>
      </c>
      <c r="O212" s="2" t="s">
        <v>43</v>
      </c>
      <c r="P212" t="str">
        <f>IF('Cleaned Data'!N212&gt;JOTTING!F225,"High Sales","Low Sales")</f>
        <v>High Sales</v>
      </c>
    </row>
    <row r="213" spans="2:16" ht="15" x14ac:dyDescent="0.25">
      <c r="B213" s="2" t="s">
        <v>261</v>
      </c>
      <c r="C213" s="2" t="s">
        <v>755</v>
      </c>
      <c r="D213" s="7">
        <v>2023</v>
      </c>
      <c r="E213" s="7" t="s">
        <v>767</v>
      </c>
      <c r="F213" s="3">
        <v>44994</v>
      </c>
      <c r="G213" s="4">
        <v>470</v>
      </c>
      <c r="H213" s="4">
        <v>7</v>
      </c>
      <c r="I213" s="4" t="str">
        <f t="shared" si="3"/>
        <v>Slow</v>
      </c>
      <c r="J213" s="2" t="s">
        <v>18</v>
      </c>
      <c r="K213" s="2" t="s">
        <v>57</v>
      </c>
      <c r="L213" s="4">
        <v>2</v>
      </c>
      <c r="M213" s="4">
        <v>142.11000000000001</v>
      </c>
      <c r="N213" s="4">
        <v>284.22000000000003</v>
      </c>
      <c r="O213" s="2" t="s">
        <v>31</v>
      </c>
      <c r="P213" t="str">
        <f>IF('Cleaned Data'!N213&gt;JOTTING!F226,"High Sales","Low Sales")</f>
        <v>High Sales</v>
      </c>
    </row>
    <row r="214" spans="2:16" ht="15" x14ac:dyDescent="0.25">
      <c r="B214" s="2" t="s">
        <v>262</v>
      </c>
      <c r="C214" s="2" t="s">
        <v>757</v>
      </c>
      <c r="D214" s="7">
        <v>2023</v>
      </c>
      <c r="E214" s="7" t="s">
        <v>767</v>
      </c>
      <c r="F214" s="3">
        <v>45004</v>
      </c>
      <c r="G214" s="4">
        <v>956</v>
      </c>
      <c r="H214" s="4">
        <v>9</v>
      </c>
      <c r="I214" s="4" t="str">
        <f t="shared" si="3"/>
        <v>Slow</v>
      </c>
      <c r="J214" s="2" t="s">
        <v>63</v>
      </c>
      <c r="K214" s="2" t="s">
        <v>57</v>
      </c>
      <c r="L214" s="4">
        <v>3</v>
      </c>
      <c r="M214" s="4">
        <v>316.01</v>
      </c>
      <c r="N214" s="4">
        <v>948.03</v>
      </c>
      <c r="O214" s="2" t="s">
        <v>31</v>
      </c>
      <c r="P214" t="str">
        <f>IF('Cleaned Data'!N214&gt;JOTTING!F227,"High Sales","Low Sales")</f>
        <v>High Sales</v>
      </c>
    </row>
    <row r="215" spans="2:16" ht="15" x14ac:dyDescent="0.25">
      <c r="B215" s="2" t="s">
        <v>263</v>
      </c>
      <c r="C215" s="2" t="s">
        <v>753</v>
      </c>
      <c r="D215" s="7">
        <v>2023</v>
      </c>
      <c r="E215" s="7" t="s">
        <v>759</v>
      </c>
      <c r="F215" s="3">
        <v>45237</v>
      </c>
      <c r="G215" s="4">
        <v>952</v>
      </c>
      <c r="H215" s="4">
        <v>5</v>
      </c>
      <c r="I215" s="4" t="str">
        <f t="shared" si="3"/>
        <v>Standard</v>
      </c>
      <c r="J215" s="2" t="s">
        <v>55</v>
      </c>
      <c r="K215" s="2" t="s">
        <v>39</v>
      </c>
      <c r="L215" s="4">
        <v>1</v>
      </c>
      <c r="M215" s="4">
        <v>133.76</v>
      </c>
      <c r="N215" s="4">
        <v>133.76</v>
      </c>
      <c r="O215" s="2" t="s">
        <v>26</v>
      </c>
      <c r="P215" t="str">
        <f>IF('Cleaned Data'!N215&gt;JOTTING!F228,"High Sales","Low Sales")</f>
        <v>High Sales</v>
      </c>
    </row>
    <row r="216" spans="2:16" ht="15" x14ac:dyDescent="0.25">
      <c r="B216" s="2" t="s">
        <v>264</v>
      </c>
      <c r="C216" s="2" t="s">
        <v>753</v>
      </c>
      <c r="D216" s="7">
        <v>2023</v>
      </c>
      <c r="E216" s="7" t="s">
        <v>760</v>
      </c>
      <c r="F216" s="3">
        <v>45049</v>
      </c>
      <c r="G216" s="4">
        <v>483</v>
      </c>
      <c r="H216" s="4">
        <v>1</v>
      </c>
      <c r="I216" s="4" t="str">
        <f t="shared" si="3"/>
        <v>Early</v>
      </c>
      <c r="J216" s="2" t="s">
        <v>51</v>
      </c>
      <c r="K216" s="2" t="s">
        <v>49</v>
      </c>
      <c r="L216" s="4">
        <v>3</v>
      </c>
      <c r="M216" s="4">
        <v>199.2</v>
      </c>
      <c r="N216" s="4">
        <v>597.6</v>
      </c>
      <c r="O216" s="2" t="s">
        <v>26</v>
      </c>
      <c r="P216" t="str">
        <f>IF('Cleaned Data'!N216&gt;JOTTING!F229,"High Sales","Low Sales")</f>
        <v>High Sales</v>
      </c>
    </row>
    <row r="217" spans="2:16" ht="15" x14ac:dyDescent="0.25">
      <c r="B217" s="2" t="s">
        <v>238</v>
      </c>
      <c r="C217" s="2" t="s">
        <v>754</v>
      </c>
      <c r="D217" s="7">
        <v>2023</v>
      </c>
      <c r="E217" s="7" t="s">
        <v>760</v>
      </c>
      <c r="F217" s="3">
        <v>45047</v>
      </c>
      <c r="G217" s="4">
        <v>544</v>
      </c>
      <c r="H217" s="4">
        <v>7</v>
      </c>
      <c r="I217" s="4" t="str">
        <f t="shared" si="3"/>
        <v>Slow</v>
      </c>
      <c r="J217" s="2" t="s">
        <v>24</v>
      </c>
      <c r="K217" s="2" t="s">
        <v>49</v>
      </c>
      <c r="L217" s="4">
        <v>1</v>
      </c>
      <c r="M217" s="4">
        <v>434.76</v>
      </c>
      <c r="N217" s="4">
        <v>434.76</v>
      </c>
      <c r="O217" s="2" t="s">
        <v>26</v>
      </c>
      <c r="P217" t="str">
        <f>IF('Cleaned Data'!N217&gt;JOTTING!F230,"High Sales","Low Sales")</f>
        <v>High Sales</v>
      </c>
    </row>
    <row r="218" spans="2:16" ht="15" x14ac:dyDescent="0.25">
      <c r="B218" s="2" t="s">
        <v>265</v>
      </c>
      <c r="C218" s="2" t="s">
        <v>754</v>
      </c>
      <c r="D218" s="7">
        <v>2023</v>
      </c>
      <c r="E218" s="7" t="s">
        <v>767</v>
      </c>
      <c r="F218" s="3">
        <v>45014</v>
      </c>
      <c r="G218" s="4">
        <v>524</v>
      </c>
      <c r="H218" s="4">
        <v>5</v>
      </c>
      <c r="I218" s="4" t="str">
        <f t="shared" si="3"/>
        <v>Standard</v>
      </c>
      <c r="J218" s="2" t="s">
        <v>51</v>
      </c>
      <c r="K218" s="2" t="s">
        <v>57</v>
      </c>
      <c r="L218" s="4">
        <v>2</v>
      </c>
      <c r="M218" s="4">
        <v>143.18</v>
      </c>
      <c r="N218" s="4">
        <v>286.36</v>
      </c>
      <c r="O218" s="2" t="s">
        <v>31</v>
      </c>
      <c r="P218" t="str">
        <f>IF('Cleaned Data'!N218&gt;JOTTING!F231,"High Sales","Low Sales")</f>
        <v>High Sales</v>
      </c>
    </row>
    <row r="219" spans="2:16" ht="15" x14ac:dyDescent="0.25">
      <c r="B219" s="2" t="s">
        <v>266</v>
      </c>
      <c r="C219" s="2" t="s">
        <v>756</v>
      </c>
      <c r="D219" s="7">
        <v>2023</v>
      </c>
      <c r="E219" s="7" t="s">
        <v>768</v>
      </c>
      <c r="F219" s="3">
        <v>45151</v>
      </c>
      <c r="G219" s="4">
        <v>260</v>
      </c>
      <c r="H219" s="4">
        <v>3</v>
      </c>
      <c r="I219" s="4" t="str">
        <f t="shared" si="3"/>
        <v>Standard</v>
      </c>
      <c r="J219" s="2" t="s">
        <v>63</v>
      </c>
      <c r="K219" s="2" t="s">
        <v>25</v>
      </c>
      <c r="L219" s="4">
        <v>2</v>
      </c>
      <c r="M219" s="4">
        <v>82.02</v>
      </c>
      <c r="N219" s="4">
        <v>164.04</v>
      </c>
      <c r="O219" s="2" t="s">
        <v>20</v>
      </c>
      <c r="P219" t="str">
        <f>IF('Cleaned Data'!N219&gt;JOTTING!F232,"High Sales","Low Sales")</f>
        <v>High Sales</v>
      </c>
    </row>
    <row r="220" spans="2:16" ht="15" x14ac:dyDescent="0.25">
      <c r="B220" s="2" t="s">
        <v>267</v>
      </c>
      <c r="C220" s="2" t="s">
        <v>755</v>
      </c>
      <c r="D220" s="7">
        <v>2023</v>
      </c>
      <c r="E220" s="7" t="s">
        <v>760</v>
      </c>
      <c r="F220" s="3">
        <v>45074</v>
      </c>
      <c r="G220" s="4">
        <v>277</v>
      </c>
      <c r="H220" s="4">
        <v>9</v>
      </c>
      <c r="I220" s="4" t="str">
        <f t="shared" si="3"/>
        <v>Slow</v>
      </c>
      <c r="J220" s="2" t="s">
        <v>63</v>
      </c>
      <c r="K220" s="2" t="s">
        <v>19</v>
      </c>
      <c r="L220" s="4">
        <v>1</v>
      </c>
      <c r="M220" s="4">
        <v>81.05</v>
      </c>
      <c r="N220" s="4">
        <v>81.05</v>
      </c>
      <c r="O220" s="2" t="s">
        <v>31</v>
      </c>
      <c r="P220" t="str">
        <f>IF('Cleaned Data'!N220&gt;JOTTING!F233,"High Sales","Low Sales")</f>
        <v>High Sales</v>
      </c>
    </row>
    <row r="221" spans="2:16" ht="15" x14ac:dyDescent="0.25">
      <c r="B221" s="2" t="s">
        <v>268</v>
      </c>
      <c r="C221" s="2" t="s">
        <v>756</v>
      </c>
      <c r="D221" s="7">
        <v>2023</v>
      </c>
      <c r="E221" s="7" t="s">
        <v>766</v>
      </c>
      <c r="F221" s="3">
        <v>45199</v>
      </c>
      <c r="G221" s="4">
        <v>728</v>
      </c>
      <c r="H221" s="4">
        <v>1</v>
      </c>
      <c r="I221" s="4" t="str">
        <f t="shared" si="3"/>
        <v>Early</v>
      </c>
      <c r="J221" s="2" t="s">
        <v>30</v>
      </c>
      <c r="K221" s="2" t="s">
        <v>19</v>
      </c>
      <c r="L221" s="4">
        <v>2</v>
      </c>
      <c r="M221" s="4">
        <v>473.35</v>
      </c>
      <c r="N221" s="4">
        <v>946.7</v>
      </c>
      <c r="O221" s="2" t="s">
        <v>20</v>
      </c>
      <c r="P221" t="str">
        <f>IF('Cleaned Data'!N221&gt;JOTTING!F234,"High Sales","Low Sales")</f>
        <v>High Sales</v>
      </c>
    </row>
    <row r="222" spans="2:16" ht="15" x14ac:dyDescent="0.25">
      <c r="B222" s="2" t="s">
        <v>269</v>
      </c>
      <c r="C222" s="2" t="s">
        <v>755</v>
      </c>
      <c r="D222" s="7">
        <v>2023</v>
      </c>
      <c r="E222" s="7" t="s">
        <v>767</v>
      </c>
      <c r="F222" s="3">
        <v>45003</v>
      </c>
      <c r="G222" s="4">
        <v>807</v>
      </c>
      <c r="H222" s="4">
        <v>1</v>
      </c>
      <c r="I222" s="4" t="str">
        <f t="shared" si="3"/>
        <v>Early</v>
      </c>
      <c r="J222" s="2" t="s">
        <v>30</v>
      </c>
      <c r="K222" s="2" t="s">
        <v>49</v>
      </c>
      <c r="L222" s="4">
        <v>1</v>
      </c>
      <c r="M222" s="4">
        <v>278.11</v>
      </c>
      <c r="N222" s="4">
        <v>278.11</v>
      </c>
      <c r="O222" s="2" t="s">
        <v>43</v>
      </c>
      <c r="P222" t="str">
        <f>IF('Cleaned Data'!N222&gt;JOTTING!F235,"High Sales","Low Sales")</f>
        <v>High Sales</v>
      </c>
    </row>
    <row r="223" spans="2:16" ht="15" x14ac:dyDescent="0.25">
      <c r="B223" s="2" t="s">
        <v>270</v>
      </c>
      <c r="C223" s="2" t="s">
        <v>754</v>
      </c>
      <c r="D223" s="7">
        <v>2023</v>
      </c>
      <c r="E223" s="7" t="s">
        <v>770</v>
      </c>
      <c r="F223" s="3">
        <v>45215</v>
      </c>
      <c r="G223" s="4">
        <v>994</v>
      </c>
      <c r="H223" s="4">
        <v>1</v>
      </c>
      <c r="I223" s="4" t="str">
        <f t="shared" si="3"/>
        <v>Early</v>
      </c>
      <c r="J223" s="2" t="s">
        <v>24</v>
      </c>
      <c r="K223" s="2" t="s">
        <v>57</v>
      </c>
      <c r="L223" s="4">
        <v>1</v>
      </c>
      <c r="M223" s="4">
        <v>234.24</v>
      </c>
      <c r="N223" s="4">
        <v>234.24</v>
      </c>
      <c r="O223" s="2" t="s">
        <v>20</v>
      </c>
      <c r="P223" t="str">
        <f>IF('Cleaned Data'!N223&gt;JOTTING!F236,"High Sales","Low Sales")</f>
        <v>High Sales</v>
      </c>
    </row>
    <row r="224" spans="2:16" ht="15" x14ac:dyDescent="0.25">
      <c r="B224" s="2" t="s">
        <v>271</v>
      </c>
      <c r="C224" s="2" t="s">
        <v>755</v>
      </c>
      <c r="D224" s="7">
        <v>2023</v>
      </c>
      <c r="E224" s="7" t="s">
        <v>768</v>
      </c>
      <c r="F224" s="3">
        <v>45150</v>
      </c>
      <c r="G224" s="4">
        <v>589</v>
      </c>
      <c r="H224" s="4">
        <v>3</v>
      </c>
      <c r="I224" s="4" t="str">
        <f t="shared" si="3"/>
        <v>Standard</v>
      </c>
      <c r="J224" s="2" t="s">
        <v>30</v>
      </c>
      <c r="K224" s="2" t="s">
        <v>39</v>
      </c>
      <c r="L224" s="4">
        <v>2</v>
      </c>
      <c r="M224" s="4">
        <v>414.9</v>
      </c>
      <c r="N224" s="4">
        <v>829.8</v>
      </c>
      <c r="O224" s="2" t="s">
        <v>31</v>
      </c>
      <c r="P224" t="str">
        <f>IF('Cleaned Data'!N224&gt;JOTTING!F237,"High Sales","Low Sales")</f>
        <v>High Sales</v>
      </c>
    </row>
    <row r="225" spans="2:16" ht="15" x14ac:dyDescent="0.25">
      <c r="B225" s="2" t="s">
        <v>272</v>
      </c>
      <c r="C225" s="2" t="s">
        <v>755</v>
      </c>
      <c r="D225" s="7">
        <v>2023</v>
      </c>
      <c r="E225" s="7" t="s">
        <v>764</v>
      </c>
      <c r="F225" s="3">
        <v>44974</v>
      </c>
      <c r="G225" s="4">
        <v>426</v>
      </c>
      <c r="H225" s="4">
        <v>6</v>
      </c>
      <c r="I225" s="4" t="str">
        <f t="shared" si="3"/>
        <v>Standard</v>
      </c>
      <c r="J225" s="2" t="s">
        <v>42</v>
      </c>
      <c r="K225" s="2" t="s">
        <v>49</v>
      </c>
      <c r="L225" s="4">
        <v>4</v>
      </c>
      <c r="M225" s="4">
        <v>426.12</v>
      </c>
      <c r="N225" s="4">
        <v>1704.48</v>
      </c>
      <c r="O225" s="2" t="s">
        <v>26</v>
      </c>
      <c r="P225" t="str">
        <f>IF('Cleaned Data'!N225&gt;JOTTING!F238,"High Sales","Low Sales")</f>
        <v>High Sales</v>
      </c>
    </row>
    <row r="226" spans="2:16" ht="15" x14ac:dyDescent="0.25">
      <c r="B226" s="2" t="s">
        <v>273</v>
      </c>
      <c r="C226" s="2" t="s">
        <v>754</v>
      </c>
      <c r="D226" s="7">
        <v>2023</v>
      </c>
      <c r="E226" s="7" t="s">
        <v>765</v>
      </c>
      <c r="F226" s="3">
        <v>45081</v>
      </c>
      <c r="G226" s="4">
        <v>697</v>
      </c>
      <c r="H226" s="4">
        <v>3</v>
      </c>
      <c r="I226" s="4" t="str">
        <f t="shared" si="3"/>
        <v>Standard</v>
      </c>
      <c r="J226" s="2" t="s">
        <v>63</v>
      </c>
      <c r="K226" s="2" t="s">
        <v>57</v>
      </c>
      <c r="L226" s="4">
        <v>1</v>
      </c>
      <c r="M226" s="4">
        <v>199.49</v>
      </c>
      <c r="N226" s="4">
        <v>199.49</v>
      </c>
      <c r="O226" s="2" t="s">
        <v>26</v>
      </c>
      <c r="P226" t="str">
        <f>IF('Cleaned Data'!N226&gt;JOTTING!F239,"High Sales","Low Sales")</f>
        <v>High Sales</v>
      </c>
    </row>
    <row r="227" spans="2:16" ht="15" x14ac:dyDescent="0.25">
      <c r="B227" s="2" t="s">
        <v>274</v>
      </c>
      <c r="C227" s="2" t="s">
        <v>755</v>
      </c>
      <c r="D227" s="7">
        <v>2023</v>
      </c>
      <c r="E227" s="7" t="s">
        <v>759</v>
      </c>
      <c r="F227" s="3">
        <v>45250</v>
      </c>
      <c r="G227" s="4">
        <v>388</v>
      </c>
      <c r="H227" s="4">
        <v>8</v>
      </c>
      <c r="I227" s="4" t="str">
        <f t="shared" si="3"/>
        <v>Slow</v>
      </c>
      <c r="J227" s="2" t="s">
        <v>24</v>
      </c>
      <c r="K227" s="2" t="s">
        <v>19</v>
      </c>
      <c r="L227" s="4">
        <v>3</v>
      </c>
      <c r="M227" s="4">
        <v>362.13</v>
      </c>
      <c r="N227" s="4">
        <v>1086.3900000000001</v>
      </c>
      <c r="O227" s="2" t="s">
        <v>20</v>
      </c>
      <c r="P227" t="str">
        <f>IF('Cleaned Data'!N227&gt;JOTTING!F240,"High Sales","Low Sales")</f>
        <v>High Sales</v>
      </c>
    </row>
    <row r="228" spans="2:16" ht="15" x14ac:dyDescent="0.25">
      <c r="B228" s="2" t="s">
        <v>275</v>
      </c>
      <c r="C228" s="2" t="s">
        <v>756</v>
      </c>
      <c r="D228" s="7">
        <v>2023</v>
      </c>
      <c r="E228" s="7" t="s">
        <v>763</v>
      </c>
      <c r="F228" s="3">
        <v>45265</v>
      </c>
      <c r="G228" s="4">
        <v>692</v>
      </c>
      <c r="H228" s="4">
        <v>2</v>
      </c>
      <c r="I228" s="4" t="str">
        <f t="shared" si="3"/>
        <v>Early</v>
      </c>
      <c r="J228" s="2" t="s">
        <v>55</v>
      </c>
      <c r="K228" s="2" t="s">
        <v>19</v>
      </c>
      <c r="L228" s="4">
        <v>3</v>
      </c>
      <c r="M228" s="4">
        <v>397.01</v>
      </c>
      <c r="N228" s="4">
        <v>1191.03</v>
      </c>
      <c r="O228" s="2" t="s">
        <v>43</v>
      </c>
      <c r="P228" t="str">
        <f>IF('Cleaned Data'!N228&gt;JOTTING!F241,"High Sales","Low Sales")</f>
        <v>High Sales</v>
      </c>
    </row>
    <row r="229" spans="2:16" ht="15" x14ac:dyDescent="0.25">
      <c r="B229" s="2" t="s">
        <v>276</v>
      </c>
      <c r="C229" s="2" t="s">
        <v>755</v>
      </c>
      <c r="D229" s="7">
        <v>2023</v>
      </c>
      <c r="E229" s="7" t="s">
        <v>765</v>
      </c>
      <c r="F229" s="3">
        <v>45105</v>
      </c>
      <c r="G229" s="4">
        <v>763</v>
      </c>
      <c r="H229" s="4">
        <v>9</v>
      </c>
      <c r="I229" s="4" t="str">
        <f t="shared" si="3"/>
        <v>Slow</v>
      </c>
      <c r="J229" s="2" t="s">
        <v>51</v>
      </c>
      <c r="K229" s="2" t="s">
        <v>57</v>
      </c>
      <c r="L229" s="4">
        <v>2</v>
      </c>
      <c r="M229" s="4">
        <v>344.59</v>
      </c>
      <c r="N229" s="4">
        <v>689.18</v>
      </c>
      <c r="O229" s="2" t="s">
        <v>31</v>
      </c>
      <c r="P229" t="str">
        <f>IF('Cleaned Data'!N229&gt;JOTTING!F242,"High Sales","Low Sales")</f>
        <v>High Sales</v>
      </c>
    </row>
    <row r="230" spans="2:16" ht="15" x14ac:dyDescent="0.25">
      <c r="B230" s="2" t="s">
        <v>277</v>
      </c>
      <c r="C230" s="2" t="s">
        <v>756</v>
      </c>
      <c r="D230" s="7">
        <v>2023</v>
      </c>
      <c r="E230" s="7" t="s">
        <v>765</v>
      </c>
      <c r="F230" s="3">
        <v>45105</v>
      </c>
      <c r="G230" s="4">
        <v>672</v>
      </c>
      <c r="H230" s="4">
        <v>3</v>
      </c>
      <c r="I230" s="4" t="str">
        <f t="shared" si="3"/>
        <v>Standard</v>
      </c>
      <c r="J230" s="2" t="s">
        <v>51</v>
      </c>
      <c r="K230" s="2" t="s">
        <v>39</v>
      </c>
      <c r="L230" s="4">
        <v>4</v>
      </c>
      <c r="M230" s="4">
        <v>118.22</v>
      </c>
      <c r="N230" s="4">
        <v>472.88</v>
      </c>
      <c r="O230" s="2" t="s">
        <v>31</v>
      </c>
      <c r="P230" t="str">
        <f>IF('Cleaned Data'!N230&gt;JOTTING!F243,"High Sales","Low Sales")</f>
        <v>High Sales</v>
      </c>
    </row>
    <row r="231" spans="2:16" ht="15" x14ac:dyDescent="0.25">
      <c r="B231" s="2" t="s">
        <v>278</v>
      </c>
      <c r="C231" s="2" t="s">
        <v>755</v>
      </c>
      <c r="D231" s="7">
        <v>2023</v>
      </c>
      <c r="E231" s="7" t="s">
        <v>763</v>
      </c>
      <c r="F231" s="3">
        <v>45267</v>
      </c>
      <c r="G231" s="4">
        <v>672</v>
      </c>
      <c r="H231" s="4">
        <v>5</v>
      </c>
      <c r="I231" s="4" t="str">
        <f t="shared" si="3"/>
        <v>Standard</v>
      </c>
      <c r="J231" s="2" t="s">
        <v>18</v>
      </c>
      <c r="K231" s="2" t="s">
        <v>57</v>
      </c>
      <c r="L231" s="4">
        <v>2</v>
      </c>
      <c r="M231" s="4">
        <v>444.15</v>
      </c>
      <c r="N231" s="4">
        <v>888.3</v>
      </c>
      <c r="O231" s="2" t="s">
        <v>31</v>
      </c>
      <c r="P231" t="str">
        <f>IF('Cleaned Data'!N231&gt;JOTTING!F244,"High Sales","Low Sales")</f>
        <v>High Sales</v>
      </c>
    </row>
    <row r="232" spans="2:16" ht="15" x14ac:dyDescent="0.25">
      <c r="B232" s="2" t="s">
        <v>279</v>
      </c>
      <c r="C232" s="2" t="s">
        <v>757</v>
      </c>
      <c r="D232" s="7">
        <v>2023</v>
      </c>
      <c r="E232" s="7" t="s">
        <v>768</v>
      </c>
      <c r="F232" s="3">
        <v>45149</v>
      </c>
      <c r="G232" s="4">
        <v>453</v>
      </c>
      <c r="H232" s="4">
        <v>8</v>
      </c>
      <c r="I232" s="4" t="str">
        <f t="shared" si="3"/>
        <v>Slow</v>
      </c>
      <c r="J232" s="2" t="s">
        <v>42</v>
      </c>
      <c r="K232" s="2" t="s">
        <v>57</v>
      </c>
      <c r="L232" s="4">
        <v>4</v>
      </c>
      <c r="M232" s="4">
        <v>292.58999999999997</v>
      </c>
      <c r="N232" s="4">
        <v>1170.3599999999999</v>
      </c>
      <c r="O232" s="2" t="s">
        <v>31</v>
      </c>
      <c r="P232" t="str">
        <f>IF('Cleaned Data'!N232&gt;JOTTING!F245,"High Sales","Low Sales")</f>
        <v>High Sales</v>
      </c>
    </row>
    <row r="233" spans="2:16" ht="15" x14ac:dyDescent="0.25">
      <c r="B233" s="2" t="s">
        <v>280</v>
      </c>
      <c r="C233" s="2" t="s">
        <v>753</v>
      </c>
      <c r="D233" s="7">
        <v>2023</v>
      </c>
      <c r="E233" s="7" t="s">
        <v>761</v>
      </c>
      <c r="F233" s="3">
        <v>44940</v>
      </c>
      <c r="G233" s="4">
        <v>127</v>
      </c>
      <c r="H233" s="4">
        <v>2</v>
      </c>
      <c r="I233" s="4" t="str">
        <f t="shared" si="3"/>
        <v>Early</v>
      </c>
      <c r="J233" s="2" t="s">
        <v>30</v>
      </c>
      <c r="K233" s="2" t="s">
        <v>49</v>
      </c>
      <c r="L233" s="4">
        <v>1</v>
      </c>
      <c r="M233" s="4">
        <v>177.11</v>
      </c>
      <c r="N233" s="4">
        <v>177.11</v>
      </c>
      <c r="O233" s="2" t="s">
        <v>26</v>
      </c>
      <c r="P233" t="str">
        <f>IF('Cleaned Data'!N233&gt;JOTTING!F246,"High Sales","Low Sales")</f>
        <v>High Sales</v>
      </c>
    </row>
    <row r="234" spans="2:16" ht="15" x14ac:dyDescent="0.25">
      <c r="B234" s="2" t="s">
        <v>281</v>
      </c>
      <c r="C234" s="2" t="s">
        <v>757</v>
      </c>
      <c r="D234" s="7">
        <v>2023</v>
      </c>
      <c r="E234" s="7" t="s">
        <v>763</v>
      </c>
      <c r="F234" s="3">
        <v>45266</v>
      </c>
      <c r="G234" s="4">
        <v>142</v>
      </c>
      <c r="H234" s="4">
        <v>6</v>
      </c>
      <c r="I234" s="4" t="str">
        <f t="shared" si="3"/>
        <v>Standard</v>
      </c>
      <c r="J234" s="2" t="s">
        <v>51</v>
      </c>
      <c r="K234" s="2" t="s">
        <v>49</v>
      </c>
      <c r="L234" s="4">
        <v>1</v>
      </c>
      <c r="M234" s="4">
        <v>241.35</v>
      </c>
      <c r="N234" s="4">
        <v>241.35</v>
      </c>
      <c r="O234" s="2" t="s">
        <v>43</v>
      </c>
      <c r="P234" t="str">
        <f>IF('Cleaned Data'!N234&gt;JOTTING!F247,"High Sales","Low Sales")</f>
        <v>High Sales</v>
      </c>
    </row>
    <row r="235" spans="2:16" ht="15" x14ac:dyDescent="0.25">
      <c r="B235" s="2" t="s">
        <v>282</v>
      </c>
      <c r="C235" s="2" t="s">
        <v>755</v>
      </c>
      <c r="D235" s="7">
        <v>2023</v>
      </c>
      <c r="E235" s="7" t="s">
        <v>769</v>
      </c>
      <c r="F235" s="3">
        <v>45022</v>
      </c>
      <c r="G235" s="4">
        <v>780</v>
      </c>
      <c r="H235" s="4">
        <v>5</v>
      </c>
      <c r="I235" s="4" t="str">
        <f t="shared" si="3"/>
        <v>Standard</v>
      </c>
      <c r="J235" s="2" t="s">
        <v>18</v>
      </c>
      <c r="K235" s="2" t="s">
        <v>57</v>
      </c>
      <c r="L235" s="4">
        <v>1</v>
      </c>
      <c r="M235" s="4">
        <v>66.91</v>
      </c>
      <c r="N235" s="4">
        <v>66.91</v>
      </c>
      <c r="O235" s="2" t="s">
        <v>43</v>
      </c>
      <c r="P235" t="str">
        <f>IF('Cleaned Data'!N235&gt;JOTTING!F248,"High Sales","Low Sales")</f>
        <v>High Sales</v>
      </c>
    </row>
    <row r="236" spans="2:16" ht="15" x14ac:dyDescent="0.25">
      <c r="B236" s="2" t="s">
        <v>187</v>
      </c>
      <c r="C236" s="2" t="s">
        <v>753</v>
      </c>
      <c r="D236" s="7">
        <v>2023</v>
      </c>
      <c r="E236" s="7" t="s">
        <v>768</v>
      </c>
      <c r="F236" s="3">
        <v>45146</v>
      </c>
      <c r="G236" s="4">
        <v>522</v>
      </c>
      <c r="H236" s="4">
        <v>9</v>
      </c>
      <c r="I236" s="4" t="str">
        <f t="shared" si="3"/>
        <v>Slow</v>
      </c>
      <c r="J236" s="2" t="s">
        <v>55</v>
      </c>
      <c r="K236" s="2" t="s">
        <v>39</v>
      </c>
      <c r="L236" s="4">
        <v>1</v>
      </c>
      <c r="M236" s="4">
        <v>107.54</v>
      </c>
      <c r="N236" s="4">
        <v>107.54</v>
      </c>
      <c r="O236" s="2" t="s">
        <v>43</v>
      </c>
      <c r="P236" t="str">
        <f>IF('Cleaned Data'!N236&gt;JOTTING!F249,"High Sales","Low Sales")</f>
        <v>High Sales</v>
      </c>
    </row>
    <row r="237" spans="2:16" ht="15" x14ac:dyDescent="0.25">
      <c r="B237" s="2" t="s">
        <v>283</v>
      </c>
      <c r="C237" s="2" t="s">
        <v>756</v>
      </c>
      <c r="D237" s="7">
        <v>2023</v>
      </c>
      <c r="E237" s="7" t="s">
        <v>767</v>
      </c>
      <c r="F237" s="3">
        <v>44992</v>
      </c>
      <c r="G237" s="4">
        <v>697</v>
      </c>
      <c r="H237" s="4">
        <v>5</v>
      </c>
      <c r="I237" s="4" t="str">
        <f t="shared" si="3"/>
        <v>Standard</v>
      </c>
      <c r="J237" s="2" t="s">
        <v>55</v>
      </c>
      <c r="K237" s="2" t="s">
        <v>57</v>
      </c>
      <c r="L237" s="4">
        <v>3</v>
      </c>
      <c r="M237" s="4">
        <v>394.5</v>
      </c>
      <c r="N237" s="4">
        <v>1183.5</v>
      </c>
      <c r="O237" s="2" t="s">
        <v>20</v>
      </c>
      <c r="P237" t="str">
        <f>IF('Cleaned Data'!N237&gt;JOTTING!F250,"High Sales","Low Sales")</f>
        <v>High Sales</v>
      </c>
    </row>
    <row r="238" spans="2:16" ht="15" x14ac:dyDescent="0.25">
      <c r="B238" s="2" t="s">
        <v>284</v>
      </c>
      <c r="C238" s="2" t="s">
        <v>756</v>
      </c>
      <c r="D238" s="7">
        <v>2023</v>
      </c>
      <c r="E238" s="7" t="s">
        <v>761</v>
      </c>
      <c r="F238" s="3">
        <v>44941</v>
      </c>
      <c r="G238" s="4">
        <v>276</v>
      </c>
      <c r="H238" s="4">
        <v>2</v>
      </c>
      <c r="I238" s="4" t="str">
        <f t="shared" si="3"/>
        <v>Early</v>
      </c>
      <c r="J238" s="2" t="s">
        <v>63</v>
      </c>
      <c r="K238" s="2" t="s">
        <v>57</v>
      </c>
      <c r="L238" s="4">
        <v>3</v>
      </c>
      <c r="M238" s="4">
        <v>50.01</v>
      </c>
      <c r="N238" s="4">
        <v>150.03</v>
      </c>
      <c r="O238" s="2" t="s">
        <v>31</v>
      </c>
      <c r="P238" t="str">
        <f>IF('Cleaned Data'!N238&gt;JOTTING!F251,"High Sales","Low Sales")</f>
        <v>High Sales</v>
      </c>
    </row>
    <row r="239" spans="2:16" ht="15" x14ac:dyDescent="0.25">
      <c r="B239" s="2" t="s">
        <v>285</v>
      </c>
      <c r="C239" s="2" t="s">
        <v>753</v>
      </c>
      <c r="D239" s="7">
        <v>2023</v>
      </c>
      <c r="E239" s="7" t="s">
        <v>769</v>
      </c>
      <c r="F239" s="3">
        <v>45045</v>
      </c>
      <c r="G239" s="4">
        <v>628</v>
      </c>
      <c r="H239" s="4">
        <v>5</v>
      </c>
      <c r="I239" s="4" t="str">
        <f t="shared" si="3"/>
        <v>Standard</v>
      </c>
      <c r="J239" s="2" t="s">
        <v>30</v>
      </c>
      <c r="K239" s="2" t="s">
        <v>49</v>
      </c>
      <c r="L239" s="4">
        <v>2</v>
      </c>
      <c r="M239" s="4">
        <v>237.45</v>
      </c>
      <c r="N239" s="4">
        <v>474.9</v>
      </c>
      <c r="O239" s="2" t="s">
        <v>26</v>
      </c>
      <c r="P239" t="str">
        <f>IF('Cleaned Data'!N239&gt;JOTTING!F252,"High Sales","Low Sales")</f>
        <v>High Sales</v>
      </c>
    </row>
    <row r="240" spans="2:16" ht="15" x14ac:dyDescent="0.25">
      <c r="B240" s="2" t="s">
        <v>286</v>
      </c>
      <c r="C240" s="2" t="s">
        <v>756</v>
      </c>
      <c r="D240" s="7">
        <v>2023</v>
      </c>
      <c r="E240" s="7" t="s">
        <v>770</v>
      </c>
      <c r="F240" s="3">
        <v>45215</v>
      </c>
      <c r="G240" s="4">
        <v>709</v>
      </c>
      <c r="H240" s="4">
        <v>4</v>
      </c>
      <c r="I240" s="4" t="str">
        <f t="shared" si="3"/>
        <v>Standard</v>
      </c>
      <c r="J240" s="2" t="s">
        <v>24</v>
      </c>
      <c r="K240" s="2" t="s">
        <v>57</v>
      </c>
      <c r="L240" s="4">
        <v>4</v>
      </c>
      <c r="M240" s="4">
        <v>285.13</v>
      </c>
      <c r="N240" s="4">
        <v>1140.52</v>
      </c>
      <c r="O240" s="2" t="s">
        <v>26</v>
      </c>
      <c r="P240" t="str">
        <f>IF('Cleaned Data'!N240&gt;JOTTING!F253,"High Sales","Low Sales")</f>
        <v>High Sales</v>
      </c>
    </row>
    <row r="241" spans="2:16" ht="15" x14ac:dyDescent="0.25">
      <c r="B241" s="2" t="s">
        <v>287</v>
      </c>
      <c r="C241" s="2" t="s">
        <v>755</v>
      </c>
      <c r="D241" s="7">
        <v>2023</v>
      </c>
      <c r="E241" s="7" t="s">
        <v>769</v>
      </c>
      <c r="F241" s="3">
        <v>45035</v>
      </c>
      <c r="G241" s="4">
        <v>593</v>
      </c>
      <c r="H241" s="4">
        <v>7</v>
      </c>
      <c r="I241" s="4" t="str">
        <f t="shared" si="3"/>
        <v>Slow</v>
      </c>
      <c r="J241" s="2" t="s">
        <v>51</v>
      </c>
      <c r="K241" s="2" t="s">
        <v>39</v>
      </c>
      <c r="L241" s="4">
        <v>1</v>
      </c>
      <c r="M241" s="4">
        <v>74.59</v>
      </c>
      <c r="N241" s="4">
        <v>74.59</v>
      </c>
      <c r="O241" s="2" t="s">
        <v>26</v>
      </c>
      <c r="P241" t="str">
        <f>IF('Cleaned Data'!N241&gt;JOTTING!F254,"High Sales","Low Sales")</f>
        <v>High Sales</v>
      </c>
    </row>
    <row r="242" spans="2:16" ht="15" x14ac:dyDescent="0.25">
      <c r="B242" s="2" t="s">
        <v>288</v>
      </c>
      <c r="C242" s="2" t="s">
        <v>757</v>
      </c>
      <c r="D242" s="7">
        <v>2023</v>
      </c>
      <c r="E242" s="7" t="s">
        <v>767</v>
      </c>
      <c r="F242" s="3">
        <v>45013</v>
      </c>
      <c r="G242" s="4">
        <v>297</v>
      </c>
      <c r="H242" s="4">
        <v>6</v>
      </c>
      <c r="I242" s="4" t="str">
        <f t="shared" si="3"/>
        <v>Standard</v>
      </c>
      <c r="J242" s="2" t="s">
        <v>55</v>
      </c>
      <c r="K242" s="2" t="s">
        <v>25</v>
      </c>
      <c r="L242" s="4">
        <v>1</v>
      </c>
      <c r="M242" s="4">
        <v>487.89</v>
      </c>
      <c r="N242" s="4">
        <v>487.89</v>
      </c>
      <c r="O242" s="2" t="s">
        <v>43</v>
      </c>
      <c r="P242" t="str">
        <f>IF('Cleaned Data'!N242&gt;JOTTING!F255,"High Sales","Low Sales")</f>
        <v>High Sales</v>
      </c>
    </row>
    <row r="243" spans="2:16" ht="15" x14ac:dyDescent="0.25">
      <c r="B243" s="2" t="s">
        <v>289</v>
      </c>
      <c r="C243" s="2" t="s">
        <v>753</v>
      </c>
      <c r="D243" s="7">
        <v>2023</v>
      </c>
      <c r="E243" s="7" t="s">
        <v>767</v>
      </c>
      <c r="F243" s="3">
        <v>45006</v>
      </c>
      <c r="G243" s="4">
        <v>709</v>
      </c>
      <c r="H243" s="4">
        <v>2</v>
      </c>
      <c r="I243" s="4" t="str">
        <f t="shared" si="3"/>
        <v>Early</v>
      </c>
      <c r="J243" s="2" t="s">
        <v>55</v>
      </c>
      <c r="K243" s="2" t="s">
        <v>49</v>
      </c>
      <c r="L243" s="4">
        <v>4</v>
      </c>
      <c r="M243" s="4">
        <v>151.76</v>
      </c>
      <c r="N243" s="4">
        <v>607.04</v>
      </c>
      <c r="O243" s="2" t="s">
        <v>26</v>
      </c>
      <c r="P243" t="str">
        <f>IF('Cleaned Data'!N243&gt;JOTTING!F256,"High Sales","Low Sales")</f>
        <v>High Sales</v>
      </c>
    </row>
    <row r="244" spans="2:16" ht="15" x14ac:dyDescent="0.25">
      <c r="B244" s="2" t="s">
        <v>290</v>
      </c>
      <c r="C244" s="2" t="s">
        <v>756</v>
      </c>
      <c r="D244" s="7">
        <v>2023</v>
      </c>
      <c r="E244" s="7" t="s">
        <v>762</v>
      </c>
      <c r="F244" s="3">
        <v>45120</v>
      </c>
      <c r="G244" s="4">
        <v>676</v>
      </c>
      <c r="H244" s="4">
        <v>5</v>
      </c>
      <c r="I244" s="4" t="str">
        <f t="shared" si="3"/>
        <v>Standard</v>
      </c>
      <c r="J244" s="2" t="s">
        <v>18</v>
      </c>
      <c r="K244" s="2" t="s">
        <v>49</v>
      </c>
      <c r="L244" s="4">
        <v>4</v>
      </c>
      <c r="M244" s="4">
        <v>186.89</v>
      </c>
      <c r="N244" s="4">
        <v>747.56</v>
      </c>
      <c r="O244" s="2" t="s">
        <v>20</v>
      </c>
      <c r="P244" t="str">
        <f>IF('Cleaned Data'!N244&gt;JOTTING!F257,"High Sales","Low Sales")</f>
        <v>High Sales</v>
      </c>
    </row>
    <row r="245" spans="2:16" ht="15" x14ac:dyDescent="0.25">
      <c r="B245" s="2" t="s">
        <v>291</v>
      </c>
      <c r="C245" s="2" t="s">
        <v>753</v>
      </c>
      <c r="D245" s="7">
        <v>2023</v>
      </c>
      <c r="E245" s="7" t="s">
        <v>763</v>
      </c>
      <c r="F245" s="3">
        <v>45290</v>
      </c>
      <c r="G245" s="4">
        <v>941</v>
      </c>
      <c r="H245" s="4">
        <v>7</v>
      </c>
      <c r="I245" s="4" t="str">
        <f t="shared" si="3"/>
        <v>Slow</v>
      </c>
      <c r="J245" s="2" t="s">
        <v>30</v>
      </c>
      <c r="K245" s="2" t="s">
        <v>19</v>
      </c>
      <c r="L245" s="4">
        <v>2</v>
      </c>
      <c r="M245" s="4">
        <v>186.77</v>
      </c>
      <c r="N245" s="4">
        <v>373.54</v>
      </c>
      <c r="O245" s="2" t="s">
        <v>43</v>
      </c>
      <c r="P245" t="str">
        <f>IF('Cleaned Data'!N245&gt;JOTTING!F258,"High Sales","Low Sales")</f>
        <v>High Sales</v>
      </c>
    </row>
    <row r="246" spans="2:16" ht="15" x14ac:dyDescent="0.25">
      <c r="B246" s="2" t="s">
        <v>292</v>
      </c>
      <c r="C246" s="2" t="s">
        <v>756</v>
      </c>
      <c r="D246" s="7">
        <v>2023</v>
      </c>
      <c r="E246" s="7" t="s">
        <v>765</v>
      </c>
      <c r="F246" s="3">
        <v>45101</v>
      </c>
      <c r="G246" s="4">
        <v>952</v>
      </c>
      <c r="H246" s="4">
        <v>7</v>
      </c>
      <c r="I246" s="4" t="str">
        <f t="shared" si="3"/>
        <v>Slow</v>
      </c>
      <c r="J246" s="2" t="s">
        <v>30</v>
      </c>
      <c r="K246" s="2" t="s">
        <v>57</v>
      </c>
      <c r="L246" s="4">
        <v>4</v>
      </c>
      <c r="M246" s="4">
        <v>153.69</v>
      </c>
      <c r="N246" s="4">
        <v>614.76</v>
      </c>
      <c r="O246" s="2" t="s">
        <v>43</v>
      </c>
      <c r="P246" t="str">
        <f>IF('Cleaned Data'!N246&gt;JOTTING!F259,"High Sales","Low Sales")</f>
        <v>High Sales</v>
      </c>
    </row>
    <row r="247" spans="2:16" ht="15" x14ac:dyDescent="0.25">
      <c r="B247" s="2" t="s">
        <v>293</v>
      </c>
      <c r="C247" s="2" t="s">
        <v>755</v>
      </c>
      <c r="D247" s="7">
        <v>2023</v>
      </c>
      <c r="E247" s="7" t="s">
        <v>762</v>
      </c>
      <c r="F247" s="3">
        <v>45135</v>
      </c>
      <c r="G247" s="4">
        <v>616</v>
      </c>
      <c r="H247" s="4">
        <v>5</v>
      </c>
      <c r="I247" s="4" t="str">
        <f t="shared" si="3"/>
        <v>Standard</v>
      </c>
      <c r="J247" s="2" t="s">
        <v>42</v>
      </c>
      <c r="K247" s="2" t="s">
        <v>57</v>
      </c>
      <c r="L247" s="4">
        <v>1</v>
      </c>
      <c r="M247" s="4">
        <v>50.66</v>
      </c>
      <c r="N247" s="4">
        <v>50.66</v>
      </c>
      <c r="O247" s="2" t="s">
        <v>20</v>
      </c>
      <c r="P247" t="str">
        <f>IF('Cleaned Data'!N247&gt;JOTTING!F260,"High Sales","Low Sales")</f>
        <v>High Sales</v>
      </c>
    </row>
    <row r="248" spans="2:16" ht="15" x14ac:dyDescent="0.25">
      <c r="B248" s="2" t="s">
        <v>294</v>
      </c>
      <c r="C248" s="2" t="s">
        <v>755</v>
      </c>
      <c r="D248" s="7">
        <v>2023</v>
      </c>
      <c r="E248" s="7" t="s">
        <v>759</v>
      </c>
      <c r="F248" s="3">
        <v>45250</v>
      </c>
      <c r="G248" s="4">
        <v>613</v>
      </c>
      <c r="H248" s="4">
        <v>9</v>
      </c>
      <c r="I248" s="4" t="str">
        <f t="shared" si="3"/>
        <v>Slow</v>
      </c>
      <c r="J248" s="2" t="s">
        <v>24</v>
      </c>
      <c r="K248" s="2" t="s">
        <v>19</v>
      </c>
      <c r="L248" s="4">
        <v>1</v>
      </c>
      <c r="M248" s="4">
        <v>378.21</v>
      </c>
      <c r="N248" s="4">
        <v>378.21</v>
      </c>
      <c r="O248" s="2" t="s">
        <v>20</v>
      </c>
      <c r="P248" t="str">
        <f>IF('Cleaned Data'!N248&gt;JOTTING!F261,"High Sales","Low Sales")</f>
        <v>High Sales</v>
      </c>
    </row>
    <row r="249" spans="2:16" ht="15" x14ac:dyDescent="0.25">
      <c r="B249" s="2" t="s">
        <v>295</v>
      </c>
      <c r="C249" s="2" t="s">
        <v>754</v>
      </c>
      <c r="D249" s="7">
        <v>2023</v>
      </c>
      <c r="E249" s="7" t="s">
        <v>762</v>
      </c>
      <c r="F249" s="3">
        <v>45126</v>
      </c>
      <c r="G249" s="4">
        <v>121</v>
      </c>
      <c r="H249" s="4">
        <v>4</v>
      </c>
      <c r="I249" s="4" t="str">
        <f t="shared" si="3"/>
        <v>Standard</v>
      </c>
      <c r="J249" s="2" t="s">
        <v>51</v>
      </c>
      <c r="K249" s="2" t="s">
        <v>57</v>
      </c>
      <c r="L249" s="4">
        <v>1</v>
      </c>
      <c r="M249" s="4">
        <v>485.08</v>
      </c>
      <c r="N249" s="4">
        <v>485.08</v>
      </c>
      <c r="O249" s="2" t="s">
        <v>20</v>
      </c>
      <c r="P249" t="str">
        <f>IF('Cleaned Data'!N249&gt;JOTTING!F262,"High Sales","Low Sales")</f>
        <v>High Sales</v>
      </c>
    </row>
    <row r="250" spans="2:16" ht="15" x14ac:dyDescent="0.25">
      <c r="B250" s="2" t="s">
        <v>296</v>
      </c>
      <c r="C250" s="2" t="s">
        <v>753</v>
      </c>
      <c r="D250" s="7">
        <v>2023</v>
      </c>
      <c r="E250" s="7" t="s">
        <v>767</v>
      </c>
      <c r="F250" s="3">
        <v>44997</v>
      </c>
      <c r="G250" s="4">
        <v>211</v>
      </c>
      <c r="H250" s="4">
        <v>3</v>
      </c>
      <c r="I250" s="4" t="str">
        <f t="shared" si="3"/>
        <v>Standard</v>
      </c>
      <c r="J250" s="2" t="s">
        <v>63</v>
      </c>
      <c r="K250" s="2" t="s">
        <v>57</v>
      </c>
      <c r="L250" s="4">
        <v>1</v>
      </c>
      <c r="M250" s="4">
        <v>150.93</v>
      </c>
      <c r="N250" s="4">
        <v>150.93</v>
      </c>
      <c r="O250" s="2" t="s">
        <v>20</v>
      </c>
      <c r="P250" t="str">
        <f>IF('Cleaned Data'!N250&gt;JOTTING!F263,"High Sales","Low Sales")</f>
        <v>High Sales</v>
      </c>
    </row>
    <row r="251" spans="2:16" ht="15" x14ac:dyDescent="0.25">
      <c r="B251" s="2" t="s">
        <v>297</v>
      </c>
      <c r="C251" s="2" t="s">
        <v>755</v>
      </c>
      <c r="D251" s="7">
        <v>2023</v>
      </c>
      <c r="E251" s="7" t="s">
        <v>769</v>
      </c>
      <c r="F251" s="3">
        <v>45040</v>
      </c>
      <c r="G251" s="4">
        <v>156</v>
      </c>
      <c r="H251" s="4">
        <v>4</v>
      </c>
      <c r="I251" s="4" t="str">
        <f t="shared" si="3"/>
        <v>Standard</v>
      </c>
      <c r="J251" s="2" t="s">
        <v>24</v>
      </c>
      <c r="K251" s="2" t="s">
        <v>39</v>
      </c>
      <c r="L251" s="4">
        <v>1</v>
      </c>
      <c r="M251" s="4">
        <v>348.37</v>
      </c>
      <c r="N251" s="4">
        <v>348.37</v>
      </c>
      <c r="O251" s="2" t="s">
        <v>43</v>
      </c>
      <c r="P251" t="str">
        <f>IF('Cleaned Data'!N251&gt;JOTTING!F264,"High Sales","Low Sales")</f>
        <v>High Sales</v>
      </c>
    </row>
    <row r="252" spans="2:16" ht="15" x14ac:dyDescent="0.25">
      <c r="B252" s="2" t="s">
        <v>298</v>
      </c>
      <c r="C252" s="2" t="s">
        <v>755</v>
      </c>
      <c r="D252" s="7">
        <v>2023</v>
      </c>
      <c r="E252" s="7" t="s">
        <v>769</v>
      </c>
      <c r="F252" s="3">
        <v>45045</v>
      </c>
      <c r="G252" s="4">
        <v>165</v>
      </c>
      <c r="H252" s="4">
        <v>5</v>
      </c>
      <c r="I252" s="4" t="str">
        <f t="shared" si="3"/>
        <v>Standard</v>
      </c>
      <c r="J252" s="2" t="s">
        <v>30</v>
      </c>
      <c r="K252" s="2" t="s">
        <v>25</v>
      </c>
      <c r="L252" s="4">
        <v>2</v>
      </c>
      <c r="M252" s="4">
        <v>383.85</v>
      </c>
      <c r="N252" s="4">
        <v>767.7</v>
      </c>
      <c r="O252" s="2" t="s">
        <v>20</v>
      </c>
      <c r="P252" t="str">
        <f>IF('Cleaned Data'!N252&gt;JOTTING!F265,"High Sales","Low Sales")</f>
        <v>High Sales</v>
      </c>
    </row>
    <row r="253" spans="2:16" ht="15" x14ac:dyDescent="0.25">
      <c r="B253" s="2" t="s">
        <v>299</v>
      </c>
      <c r="C253" s="2" t="s">
        <v>756</v>
      </c>
      <c r="D253" s="7">
        <v>2023</v>
      </c>
      <c r="E253" s="7" t="s">
        <v>765</v>
      </c>
      <c r="F253" s="3">
        <v>45078</v>
      </c>
      <c r="G253" s="4">
        <v>941</v>
      </c>
      <c r="H253" s="4">
        <v>6</v>
      </c>
      <c r="I253" s="4" t="str">
        <f t="shared" si="3"/>
        <v>Standard</v>
      </c>
      <c r="J253" s="2" t="s">
        <v>18</v>
      </c>
      <c r="K253" s="2" t="s">
        <v>39</v>
      </c>
      <c r="L253" s="4">
        <v>1</v>
      </c>
      <c r="M253" s="4">
        <v>431.79</v>
      </c>
      <c r="N253" s="4">
        <v>431.79</v>
      </c>
      <c r="O253" s="2" t="s">
        <v>26</v>
      </c>
      <c r="P253" t="str">
        <f>IF('Cleaned Data'!N253&gt;JOTTING!F266,"High Sales","Low Sales")</f>
        <v>High Sales</v>
      </c>
    </row>
    <row r="254" spans="2:16" ht="15" x14ac:dyDescent="0.25">
      <c r="B254" s="2" t="s">
        <v>300</v>
      </c>
      <c r="C254" s="2" t="s">
        <v>754</v>
      </c>
      <c r="D254" s="7">
        <v>2023</v>
      </c>
      <c r="E254" s="7" t="s">
        <v>765</v>
      </c>
      <c r="F254" s="3">
        <v>45085</v>
      </c>
      <c r="G254" s="4">
        <v>197</v>
      </c>
      <c r="H254" s="4">
        <v>3</v>
      </c>
      <c r="I254" s="4" t="str">
        <f t="shared" si="3"/>
        <v>Standard</v>
      </c>
      <c r="J254" s="2" t="s">
        <v>18</v>
      </c>
      <c r="K254" s="2" t="s">
        <v>19</v>
      </c>
      <c r="L254" s="4">
        <v>2</v>
      </c>
      <c r="M254" s="4">
        <v>240.18</v>
      </c>
      <c r="N254" s="4">
        <v>480.36</v>
      </c>
      <c r="O254" s="2" t="s">
        <v>31</v>
      </c>
      <c r="P254" t="str">
        <f>IF('Cleaned Data'!N254&gt;JOTTING!F267,"High Sales","Low Sales")</f>
        <v>High Sales</v>
      </c>
    </row>
    <row r="255" spans="2:16" ht="15" x14ac:dyDescent="0.25">
      <c r="B255" s="2" t="s">
        <v>301</v>
      </c>
      <c r="C255" s="2" t="s">
        <v>755</v>
      </c>
      <c r="D255" s="7">
        <v>2023</v>
      </c>
      <c r="E255" s="7" t="s">
        <v>770</v>
      </c>
      <c r="F255" s="3">
        <v>45220</v>
      </c>
      <c r="G255" s="4">
        <v>243</v>
      </c>
      <c r="H255" s="4">
        <v>2</v>
      </c>
      <c r="I255" s="4" t="str">
        <f t="shared" si="3"/>
        <v>Early</v>
      </c>
      <c r="J255" s="2" t="s">
        <v>30</v>
      </c>
      <c r="K255" s="2" t="s">
        <v>57</v>
      </c>
      <c r="L255" s="4">
        <v>1</v>
      </c>
      <c r="M255" s="4">
        <v>186.32</v>
      </c>
      <c r="N255" s="4">
        <v>186.32</v>
      </c>
      <c r="O255" s="2" t="s">
        <v>31</v>
      </c>
      <c r="P255" t="str">
        <f>IF('Cleaned Data'!N255&gt;JOTTING!F268,"High Sales","Low Sales")</f>
        <v>High Sales</v>
      </c>
    </row>
    <row r="256" spans="2:16" ht="15" x14ac:dyDescent="0.25">
      <c r="B256" s="2" t="s">
        <v>302</v>
      </c>
      <c r="C256" s="2" t="s">
        <v>753</v>
      </c>
      <c r="D256" s="7">
        <v>2023</v>
      </c>
      <c r="E256" s="7" t="s">
        <v>760</v>
      </c>
      <c r="F256" s="3">
        <v>45058</v>
      </c>
      <c r="G256" s="4">
        <v>979</v>
      </c>
      <c r="H256" s="4">
        <v>4</v>
      </c>
      <c r="I256" s="4" t="str">
        <f t="shared" si="3"/>
        <v>Standard</v>
      </c>
      <c r="J256" s="2" t="s">
        <v>42</v>
      </c>
      <c r="K256" s="2" t="s">
        <v>19</v>
      </c>
      <c r="L256" s="4">
        <v>3</v>
      </c>
      <c r="M256" s="4">
        <v>196.38</v>
      </c>
      <c r="N256" s="4">
        <v>589.14</v>
      </c>
      <c r="O256" s="2" t="s">
        <v>31</v>
      </c>
      <c r="P256" t="str">
        <f>IF('Cleaned Data'!N256&gt;JOTTING!F269,"High Sales","Low Sales")</f>
        <v>High Sales</v>
      </c>
    </row>
    <row r="257" spans="2:16" ht="15" x14ac:dyDescent="0.25">
      <c r="B257" s="2" t="s">
        <v>303</v>
      </c>
      <c r="C257" s="2" t="s">
        <v>757</v>
      </c>
      <c r="D257" s="7">
        <v>2023</v>
      </c>
      <c r="E257" s="7" t="s">
        <v>765</v>
      </c>
      <c r="F257" s="3">
        <v>45102</v>
      </c>
      <c r="G257" s="4">
        <v>534</v>
      </c>
      <c r="H257" s="4">
        <v>5</v>
      </c>
      <c r="I257" s="4" t="str">
        <f t="shared" si="3"/>
        <v>Standard</v>
      </c>
      <c r="J257" s="2" t="s">
        <v>63</v>
      </c>
      <c r="K257" s="2" t="s">
        <v>39</v>
      </c>
      <c r="L257" s="4">
        <v>3</v>
      </c>
      <c r="M257" s="4">
        <v>370.68</v>
      </c>
      <c r="N257" s="4">
        <v>1112.04</v>
      </c>
      <c r="O257" s="2" t="s">
        <v>31</v>
      </c>
      <c r="P257" t="str">
        <f>IF('Cleaned Data'!N257&gt;JOTTING!F270,"High Sales","Low Sales")</f>
        <v>High Sales</v>
      </c>
    </row>
    <row r="258" spans="2:16" ht="15" x14ac:dyDescent="0.25">
      <c r="B258" s="2" t="s">
        <v>304</v>
      </c>
      <c r="C258" s="2" t="s">
        <v>753</v>
      </c>
      <c r="D258" s="7">
        <v>2023</v>
      </c>
      <c r="E258" s="7" t="s">
        <v>768</v>
      </c>
      <c r="F258" s="3">
        <v>45159</v>
      </c>
      <c r="G258" s="4">
        <v>736</v>
      </c>
      <c r="H258" s="4">
        <v>4</v>
      </c>
      <c r="I258" s="4" t="str">
        <f t="shared" si="3"/>
        <v>Standard</v>
      </c>
      <c r="J258" s="2" t="s">
        <v>24</v>
      </c>
      <c r="K258" s="2" t="s">
        <v>57</v>
      </c>
      <c r="L258" s="4">
        <v>3</v>
      </c>
      <c r="M258" s="4">
        <v>417.55</v>
      </c>
      <c r="N258" s="4">
        <v>1252.6500000000001</v>
      </c>
      <c r="O258" s="2" t="s">
        <v>31</v>
      </c>
      <c r="P258" t="str">
        <f>IF('Cleaned Data'!N258&gt;JOTTING!F271,"High Sales","Low Sales")</f>
        <v>High Sales</v>
      </c>
    </row>
    <row r="259" spans="2:16" ht="15" x14ac:dyDescent="0.25">
      <c r="B259" s="2" t="s">
        <v>305</v>
      </c>
      <c r="C259" s="2" t="s">
        <v>755</v>
      </c>
      <c r="D259" s="7">
        <v>2023</v>
      </c>
      <c r="E259" s="7" t="s">
        <v>760</v>
      </c>
      <c r="F259" s="3">
        <v>45067</v>
      </c>
      <c r="G259" s="4">
        <v>778</v>
      </c>
      <c r="H259" s="4">
        <v>3</v>
      </c>
      <c r="I259" s="4" t="str">
        <f t="shared" ref="I259:I322" si="4">_xlfn.IFS(H259&lt;3,"Early",H259&lt;=6,"Standard",H259&lt;=9,"Slow")</f>
        <v>Standard</v>
      </c>
      <c r="J259" s="2" t="s">
        <v>63</v>
      </c>
      <c r="K259" s="2" t="s">
        <v>19</v>
      </c>
      <c r="L259" s="4">
        <v>3</v>
      </c>
      <c r="M259" s="4">
        <v>131.72999999999999</v>
      </c>
      <c r="N259" s="4">
        <v>395.19</v>
      </c>
      <c r="O259" s="2" t="s">
        <v>26</v>
      </c>
      <c r="P259" t="str">
        <f>IF('Cleaned Data'!N259&gt;JOTTING!F272,"High Sales","Low Sales")</f>
        <v>High Sales</v>
      </c>
    </row>
    <row r="260" spans="2:16" ht="15" x14ac:dyDescent="0.25">
      <c r="B260" s="2" t="s">
        <v>306</v>
      </c>
      <c r="C260" s="2" t="s">
        <v>757</v>
      </c>
      <c r="D260" s="7">
        <v>2023</v>
      </c>
      <c r="E260" s="7" t="s">
        <v>759</v>
      </c>
      <c r="F260" s="3">
        <v>45240</v>
      </c>
      <c r="G260" s="4">
        <v>185</v>
      </c>
      <c r="H260" s="4">
        <v>8</v>
      </c>
      <c r="I260" s="4" t="str">
        <f t="shared" si="4"/>
        <v>Slow</v>
      </c>
      <c r="J260" s="2" t="s">
        <v>42</v>
      </c>
      <c r="K260" s="2" t="s">
        <v>19</v>
      </c>
      <c r="L260" s="4">
        <v>2</v>
      </c>
      <c r="M260" s="4">
        <v>216.92</v>
      </c>
      <c r="N260" s="4">
        <v>433.84</v>
      </c>
      <c r="O260" s="2" t="s">
        <v>31</v>
      </c>
      <c r="P260" t="str">
        <f>IF('Cleaned Data'!N260&gt;JOTTING!F273,"High Sales","Low Sales")</f>
        <v>High Sales</v>
      </c>
    </row>
    <row r="261" spans="2:16" ht="15" x14ac:dyDescent="0.25">
      <c r="B261" s="2" t="s">
        <v>307</v>
      </c>
      <c r="C261" s="2" t="s">
        <v>753</v>
      </c>
      <c r="D261" s="7">
        <v>2023</v>
      </c>
      <c r="E261" s="7" t="s">
        <v>768</v>
      </c>
      <c r="F261" s="3">
        <v>45145</v>
      </c>
      <c r="G261" s="4">
        <v>687</v>
      </c>
      <c r="H261" s="4">
        <v>4</v>
      </c>
      <c r="I261" s="4" t="str">
        <f t="shared" si="4"/>
        <v>Standard</v>
      </c>
      <c r="J261" s="2" t="s">
        <v>24</v>
      </c>
      <c r="K261" s="2" t="s">
        <v>57</v>
      </c>
      <c r="L261" s="4">
        <v>2</v>
      </c>
      <c r="M261" s="4">
        <v>455.87</v>
      </c>
      <c r="N261" s="4">
        <v>911.74</v>
      </c>
      <c r="O261" s="2" t="s">
        <v>20</v>
      </c>
      <c r="P261" t="str">
        <f>IF('Cleaned Data'!N261&gt;JOTTING!F274,"High Sales","Low Sales")</f>
        <v>High Sales</v>
      </c>
    </row>
    <row r="262" spans="2:16" ht="15" x14ac:dyDescent="0.25">
      <c r="B262" s="2" t="s">
        <v>308</v>
      </c>
      <c r="C262" s="2" t="s">
        <v>754</v>
      </c>
      <c r="D262" s="7">
        <v>2023</v>
      </c>
      <c r="E262" s="7" t="s">
        <v>769</v>
      </c>
      <c r="F262" s="3">
        <v>45036</v>
      </c>
      <c r="G262" s="4">
        <v>443</v>
      </c>
      <c r="H262" s="4">
        <v>2</v>
      </c>
      <c r="I262" s="4" t="str">
        <f t="shared" si="4"/>
        <v>Early</v>
      </c>
      <c r="J262" s="2" t="s">
        <v>18</v>
      </c>
      <c r="K262" s="2" t="s">
        <v>39</v>
      </c>
      <c r="L262" s="4">
        <v>4</v>
      </c>
      <c r="M262" s="4">
        <v>413.01</v>
      </c>
      <c r="N262" s="4">
        <v>1652.04</v>
      </c>
      <c r="O262" s="2" t="s">
        <v>20</v>
      </c>
      <c r="P262" t="str">
        <f>IF('Cleaned Data'!N262&gt;JOTTING!F275,"High Sales","Low Sales")</f>
        <v>High Sales</v>
      </c>
    </row>
    <row r="263" spans="2:16" ht="15" x14ac:dyDescent="0.25">
      <c r="B263" s="2" t="s">
        <v>309</v>
      </c>
      <c r="C263" s="2" t="s">
        <v>753</v>
      </c>
      <c r="D263" s="7">
        <v>2023</v>
      </c>
      <c r="E263" s="7" t="s">
        <v>766</v>
      </c>
      <c r="F263" s="3">
        <v>45189</v>
      </c>
      <c r="G263" s="4">
        <v>393</v>
      </c>
      <c r="H263" s="4">
        <v>2</v>
      </c>
      <c r="I263" s="4" t="str">
        <f t="shared" si="4"/>
        <v>Early</v>
      </c>
      <c r="J263" s="2" t="s">
        <v>51</v>
      </c>
      <c r="K263" s="2" t="s">
        <v>39</v>
      </c>
      <c r="L263" s="4">
        <v>1</v>
      </c>
      <c r="M263" s="4">
        <v>493.19</v>
      </c>
      <c r="N263" s="4">
        <v>493.19</v>
      </c>
      <c r="O263" s="2" t="s">
        <v>20</v>
      </c>
      <c r="P263" t="str">
        <f>IF('Cleaned Data'!N263&gt;JOTTING!F276,"High Sales","Low Sales")</f>
        <v>High Sales</v>
      </c>
    </row>
    <row r="264" spans="2:16" ht="15" x14ac:dyDescent="0.25">
      <c r="B264" s="2" t="s">
        <v>310</v>
      </c>
      <c r="C264" s="2" t="s">
        <v>757</v>
      </c>
      <c r="D264" s="7">
        <v>2023</v>
      </c>
      <c r="E264" s="7" t="s">
        <v>762</v>
      </c>
      <c r="F264" s="3">
        <v>45120</v>
      </c>
      <c r="G264" s="4">
        <v>670</v>
      </c>
      <c r="H264" s="4">
        <v>1</v>
      </c>
      <c r="I264" s="4" t="str">
        <f t="shared" si="4"/>
        <v>Early</v>
      </c>
      <c r="J264" s="2" t="s">
        <v>18</v>
      </c>
      <c r="K264" s="2" t="s">
        <v>57</v>
      </c>
      <c r="L264" s="4">
        <v>3</v>
      </c>
      <c r="M264" s="4">
        <v>389.41</v>
      </c>
      <c r="N264" s="4">
        <v>1168.23</v>
      </c>
      <c r="O264" s="2" t="s">
        <v>26</v>
      </c>
      <c r="P264" t="str">
        <f>IF('Cleaned Data'!N264&gt;JOTTING!F277,"High Sales","Low Sales")</f>
        <v>High Sales</v>
      </c>
    </row>
    <row r="265" spans="2:16" ht="15" x14ac:dyDescent="0.25">
      <c r="B265" s="2" t="s">
        <v>311</v>
      </c>
      <c r="C265" s="2" t="s">
        <v>754</v>
      </c>
      <c r="D265" s="7">
        <v>2023</v>
      </c>
      <c r="E265" s="7" t="s">
        <v>762</v>
      </c>
      <c r="F265" s="3">
        <v>45126</v>
      </c>
      <c r="G265" s="4">
        <v>749</v>
      </c>
      <c r="H265" s="4">
        <v>4</v>
      </c>
      <c r="I265" s="4" t="str">
        <f t="shared" si="4"/>
        <v>Standard</v>
      </c>
      <c r="J265" s="2" t="s">
        <v>51</v>
      </c>
      <c r="K265" s="2" t="s">
        <v>19</v>
      </c>
      <c r="L265" s="4">
        <v>2</v>
      </c>
      <c r="M265" s="4">
        <v>226.94</v>
      </c>
      <c r="N265" s="4">
        <v>453.88</v>
      </c>
      <c r="O265" s="2" t="s">
        <v>43</v>
      </c>
      <c r="P265" t="str">
        <f>IF('Cleaned Data'!N265&gt;JOTTING!F278,"High Sales","Low Sales")</f>
        <v>High Sales</v>
      </c>
    </row>
    <row r="266" spans="2:16" ht="15" x14ac:dyDescent="0.25">
      <c r="B266" s="2" t="s">
        <v>312</v>
      </c>
      <c r="C266" s="2" t="s">
        <v>754</v>
      </c>
      <c r="D266" s="7">
        <v>2023</v>
      </c>
      <c r="E266" s="7" t="s">
        <v>762</v>
      </c>
      <c r="F266" s="3">
        <v>45111</v>
      </c>
      <c r="G266" s="4">
        <v>710</v>
      </c>
      <c r="H266" s="4">
        <v>9</v>
      </c>
      <c r="I266" s="4" t="str">
        <f t="shared" si="4"/>
        <v>Slow</v>
      </c>
      <c r="J266" s="2" t="s">
        <v>55</v>
      </c>
      <c r="K266" s="2" t="s">
        <v>49</v>
      </c>
      <c r="L266" s="4">
        <v>1</v>
      </c>
      <c r="M266" s="4">
        <v>315.79000000000002</v>
      </c>
      <c r="N266" s="4">
        <v>315.79000000000002</v>
      </c>
      <c r="O266" s="2" t="s">
        <v>26</v>
      </c>
      <c r="P266" t="str">
        <f>IF('Cleaned Data'!N266&gt;JOTTING!F279,"High Sales","Low Sales")</f>
        <v>High Sales</v>
      </c>
    </row>
    <row r="267" spans="2:16" ht="15" x14ac:dyDescent="0.25">
      <c r="B267" s="2" t="s">
        <v>313</v>
      </c>
      <c r="C267" s="2" t="s">
        <v>754</v>
      </c>
      <c r="D267" s="7">
        <v>2023</v>
      </c>
      <c r="E267" s="7" t="s">
        <v>762</v>
      </c>
      <c r="F267" s="3">
        <v>45115</v>
      </c>
      <c r="G267" s="4">
        <v>803</v>
      </c>
      <c r="H267" s="4">
        <v>7</v>
      </c>
      <c r="I267" s="4" t="str">
        <f t="shared" si="4"/>
        <v>Slow</v>
      </c>
      <c r="J267" s="2" t="s">
        <v>30</v>
      </c>
      <c r="K267" s="2" t="s">
        <v>49</v>
      </c>
      <c r="L267" s="4">
        <v>1</v>
      </c>
      <c r="M267" s="4">
        <v>347.46</v>
      </c>
      <c r="N267" s="4">
        <v>347.46</v>
      </c>
      <c r="O267" s="2" t="s">
        <v>31</v>
      </c>
      <c r="P267" t="str">
        <f>IF('Cleaned Data'!N267&gt;JOTTING!F280,"High Sales","Low Sales")</f>
        <v>High Sales</v>
      </c>
    </row>
    <row r="268" spans="2:16" ht="15" x14ac:dyDescent="0.25">
      <c r="B268" s="2" t="s">
        <v>314</v>
      </c>
      <c r="C268" s="2" t="s">
        <v>757</v>
      </c>
      <c r="D268" s="7">
        <v>2023</v>
      </c>
      <c r="E268" s="7" t="s">
        <v>770</v>
      </c>
      <c r="F268" s="3">
        <v>45213</v>
      </c>
      <c r="G268" s="4">
        <v>342</v>
      </c>
      <c r="H268" s="4">
        <v>7</v>
      </c>
      <c r="I268" s="4" t="str">
        <f t="shared" si="4"/>
        <v>Slow</v>
      </c>
      <c r="J268" s="2" t="s">
        <v>30</v>
      </c>
      <c r="K268" s="2" t="s">
        <v>39</v>
      </c>
      <c r="L268" s="4">
        <v>2</v>
      </c>
      <c r="M268" s="4">
        <v>85.31</v>
      </c>
      <c r="N268" s="4">
        <v>170.62</v>
      </c>
      <c r="O268" s="2" t="s">
        <v>26</v>
      </c>
      <c r="P268" t="str">
        <f>IF('Cleaned Data'!N268&gt;JOTTING!F281,"High Sales","Low Sales")</f>
        <v>High Sales</v>
      </c>
    </row>
    <row r="269" spans="2:16" ht="15" x14ac:dyDescent="0.25">
      <c r="B269" s="2" t="s">
        <v>315</v>
      </c>
      <c r="C269" s="2" t="s">
        <v>756</v>
      </c>
      <c r="D269" s="7">
        <v>2023</v>
      </c>
      <c r="E269" s="7" t="s">
        <v>764</v>
      </c>
      <c r="F269" s="3">
        <v>44971</v>
      </c>
      <c r="G269" s="4">
        <v>930</v>
      </c>
      <c r="H269" s="4">
        <v>7</v>
      </c>
      <c r="I269" s="4" t="str">
        <f t="shared" si="4"/>
        <v>Slow</v>
      </c>
      <c r="J269" s="2" t="s">
        <v>55</v>
      </c>
      <c r="K269" s="2" t="s">
        <v>49</v>
      </c>
      <c r="L269" s="4">
        <v>3</v>
      </c>
      <c r="M269" s="4">
        <v>295.02</v>
      </c>
      <c r="N269" s="4">
        <v>885.06</v>
      </c>
      <c r="O269" s="2" t="s">
        <v>43</v>
      </c>
      <c r="P269" t="str">
        <f>IF('Cleaned Data'!N269&gt;JOTTING!F282,"High Sales","Low Sales")</f>
        <v>High Sales</v>
      </c>
    </row>
    <row r="270" spans="2:16" ht="15" x14ac:dyDescent="0.25">
      <c r="B270" s="2" t="s">
        <v>316</v>
      </c>
      <c r="C270" s="2" t="s">
        <v>755</v>
      </c>
      <c r="D270" s="7">
        <v>2023</v>
      </c>
      <c r="E270" s="7" t="s">
        <v>760</v>
      </c>
      <c r="F270" s="3">
        <v>45057</v>
      </c>
      <c r="G270" s="4">
        <v>660</v>
      </c>
      <c r="H270" s="4">
        <v>8</v>
      </c>
      <c r="I270" s="4" t="str">
        <f t="shared" si="4"/>
        <v>Slow</v>
      </c>
      <c r="J270" s="2" t="s">
        <v>18</v>
      </c>
      <c r="K270" s="2" t="s">
        <v>49</v>
      </c>
      <c r="L270" s="4">
        <v>4</v>
      </c>
      <c r="M270" s="4">
        <v>369.19</v>
      </c>
      <c r="N270" s="4">
        <v>1476.76</v>
      </c>
      <c r="O270" s="2" t="s">
        <v>43</v>
      </c>
      <c r="P270" t="str">
        <f>IF('Cleaned Data'!N270&gt;JOTTING!F283,"High Sales","Low Sales")</f>
        <v>High Sales</v>
      </c>
    </row>
    <row r="271" spans="2:16" ht="15" x14ac:dyDescent="0.25">
      <c r="B271" s="2" t="s">
        <v>317</v>
      </c>
      <c r="C271" s="2" t="s">
        <v>757</v>
      </c>
      <c r="D271" s="7">
        <v>2023</v>
      </c>
      <c r="E271" s="7" t="s">
        <v>761</v>
      </c>
      <c r="F271" s="3">
        <v>44955</v>
      </c>
      <c r="G271" s="4">
        <v>131</v>
      </c>
      <c r="H271" s="4">
        <v>1</v>
      </c>
      <c r="I271" s="4" t="str">
        <f t="shared" si="4"/>
        <v>Early</v>
      </c>
      <c r="J271" s="2" t="s">
        <v>63</v>
      </c>
      <c r="K271" s="2" t="s">
        <v>49</v>
      </c>
      <c r="L271" s="4">
        <v>1</v>
      </c>
      <c r="M271" s="4">
        <v>125.29</v>
      </c>
      <c r="N271" s="4">
        <v>125.29</v>
      </c>
      <c r="O271" s="2" t="s">
        <v>20</v>
      </c>
      <c r="P271" t="str">
        <f>IF('Cleaned Data'!N271&gt;JOTTING!F284,"High Sales","Low Sales")</f>
        <v>High Sales</v>
      </c>
    </row>
    <row r="272" spans="2:16" ht="15" x14ac:dyDescent="0.25">
      <c r="B272" s="2" t="s">
        <v>318</v>
      </c>
      <c r="C272" s="2" t="s">
        <v>754</v>
      </c>
      <c r="D272" s="7">
        <v>2023</v>
      </c>
      <c r="E272" s="7" t="s">
        <v>770</v>
      </c>
      <c r="F272" s="3">
        <v>45209</v>
      </c>
      <c r="G272" s="4">
        <v>490</v>
      </c>
      <c r="H272" s="4">
        <v>8</v>
      </c>
      <c r="I272" s="4" t="str">
        <f t="shared" si="4"/>
        <v>Slow</v>
      </c>
      <c r="J272" s="2" t="s">
        <v>55</v>
      </c>
      <c r="K272" s="2" t="s">
        <v>49</v>
      </c>
      <c r="L272" s="4">
        <v>4</v>
      </c>
      <c r="M272" s="4">
        <v>401.28</v>
      </c>
      <c r="N272" s="4">
        <v>1605.12</v>
      </c>
      <c r="O272" s="2" t="s">
        <v>31</v>
      </c>
      <c r="P272" t="str">
        <f>IF('Cleaned Data'!N272&gt;JOTTING!F285,"High Sales","Low Sales")</f>
        <v>High Sales</v>
      </c>
    </row>
    <row r="273" spans="2:16" ht="15" x14ac:dyDescent="0.25">
      <c r="B273" s="2" t="s">
        <v>319</v>
      </c>
      <c r="C273" s="2" t="s">
        <v>753</v>
      </c>
      <c r="D273" s="7">
        <v>2023</v>
      </c>
      <c r="E273" s="7" t="s">
        <v>769</v>
      </c>
      <c r="F273" s="3">
        <v>45030</v>
      </c>
      <c r="G273" s="4">
        <v>376</v>
      </c>
      <c r="H273" s="4">
        <v>4</v>
      </c>
      <c r="I273" s="4" t="str">
        <f t="shared" si="4"/>
        <v>Standard</v>
      </c>
      <c r="J273" s="2" t="s">
        <v>42</v>
      </c>
      <c r="K273" s="2" t="s">
        <v>57</v>
      </c>
      <c r="L273" s="4">
        <v>3</v>
      </c>
      <c r="M273" s="4">
        <v>312.7</v>
      </c>
      <c r="N273" s="4">
        <v>938.1</v>
      </c>
      <c r="O273" s="2" t="s">
        <v>43</v>
      </c>
      <c r="P273" t="str">
        <f>IF('Cleaned Data'!N273&gt;JOTTING!F286,"High Sales","Low Sales")</f>
        <v>High Sales</v>
      </c>
    </row>
    <row r="274" spans="2:16" ht="15" x14ac:dyDescent="0.25">
      <c r="B274" s="2" t="s">
        <v>320</v>
      </c>
      <c r="C274" s="2" t="s">
        <v>757</v>
      </c>
      <c r="D274" s="7">
        <v>2023</v>
      </c>
      <c r="E274" s="7" t="s">
        <v>759</v>
      </c>
      <c r="F274" s="3">
        <v>45258</v>
      </c>
      <c r="G274" s="4">
        <v>631</v>
      </c>
      <c r="H274" s="4">
        <v>4</v>
      </c>
      <c r="I274" s="4" t="str">
        <f t="shared" si="4"/>
        <v>Standard</v>
      </c>
      <c r="J274" s="2" t="s">
        <v>55</v>
      </c>
      <c r="K274" s="2" t="s">
        <v>49</v>
      </c>
      <c r="L274" s="4">
        <v>3</v>
      </c>
      <c r="M274" s="4">
        <v>478.5</v>
      </c>
      <c r="N274" s="4">
        <v>1435.5</v>
      </c>
      <c r="O274" s="2" t="s">
        <v>26</v>
      </c>
      <c r="P274" t="str">
        <f>IF('Cleaned Data'!N274&gt;JOTTING!F287,"High Sales","Low Sales")</f>
        <v>High Sales</v>
      </c>
    </row>
    <row r="275" spans="2:16" ht="15" x14ac:dyDescent="0.25">
      <c r="B275" s="2" t="s">
        <v>321</v>
      </c>
      <c r="C275" s="2" t="s">
        <v>756</v>
      </c>
      <c r="D275" s="7">
        <v>2023</v>
      </c>
      <c r="E275" s="7" t="s">
        <v>762</v>
      </c>
      <c r="F275" s="3">
        <v>45123</v>
      </c>
      <c r="G275" s="4">
        <v>253</v>
      </c>
      <c r="H275" s="4">
        <v>4</v>
      </c>
      <c r="I275" s="4" t="str">
        <f t="shared" si="4"/>
        <v>Standard</v>
      </c>
      <c r="J275" s="2" t="s">
        <v>63</v>
      </c>
      <c r="K275" s="2" t="s">
        <v>57</v>
      </c>
      <c r="L275" s="4">
        <v>4</v>
      </c>
      <c r="M275" s="4">
        <v>69.09</v>
      </c>
      <c r="N275" s="4">
        <v>276.36</v>
      </c>
      <c r="O275" s="2" t="s">
        <v>43</v>
      </c>
      <c r="P275" t="str">
        <f>IF('Cleaned Data'!N275&gt;JOTTING!F288,"High Sales","Low Sales")</f>
        <v>High Sales</v>
      </c>
    </row>
    <row r="276" spans="2:16" ht="15" x14ac:dyDescent="0.25">
      <c r="B276" s="2" t="s">
        <v>322</v>
      </c>
      <c r="C276" s="2" t="s">
        <v>754</v>
      </c>
      <c r="D276" s="7">
        <v>2023</v>
      </c>
      <c r="E276" s="7" t="s">
        <v>770</v>
      </c>
      <c r="F276" s="3">
        <v>45225</v>
      </c>
      <c r="G276" s="4">
        <v>482</v>
      </c>
      <c r="H276" s="4">
        <v>6</v>
      </c>
      <c r="I276" s="4" t="str">
        <f t="shared" si="4"/>
        <v>Standard</v>
      </c>
      <c r="J276" s="2" t="s">
        <v>18</v>
      </c>
      <c r="K276" s="2" t="s">
        <v>57</v>
      </c>
      <c r="L276" s="4">
        <v>3</v>
      </c>
      <c r="M276" s="4">
        <v>169.4</v>
      </c>
      <c r="N276" s="4">
        <v>508.2</v>
      </c>
      <c r="O276" s="2" t="s">
        <v>20</v>
      </c>
      <c r="P276" t="str">
        <f>IF('Cleaned Data'!N276&gt;JOTTING!F289,"High Sales","Low Sales")</f>
        <v>High Sales</v>
      </c>
    </row>
    <row r="277" spans="2:16" ht="15" x14ac:dyDescent="0.25">
      <c r="B277" s="2" t="s">
        <v>323</v>
      </c>
      <c r="C277" s="2" t="s">
        <v>755</v>
      </c>
      <c r="D277" s="7">
        <v>2023</v>
      </c>
      <c r="E277" s="7" t="s">
        <v>763</v>
      </c>
      <c r="F277" s="3">
        <v>45291</v>
      </c>
      <c r="G277" s="4">
        <v>167</v>
      </c>
      <c r="H277" s="4">
        <v>7</v>
      </c>
      <c r="I277" s="4" t="str">
        <f t="shared" si="4"/>
        <v>Slow</v>
      </c>
      <c r="J277" s="2" t="s">
        <v>63</v>
      </c>
      <c r="K277" s="2" t="s">
        <v>19</v>
      </c>
      <c r="L277" s="4">
        <v>1</v>
      </c>
      <c r="M277" s="4">
        <v>320.7</v>
      </c>
      <c r="N277" s="4">
        <v>320.7</v>
      </c>
      <c r="O277" s="2" t="s">
        <v>20</v>
      </c>
      <c r="P277" t="str">
        <f>IF('Cleaned Data'!N277&gt;JOTTING!F290,"High Sales","Low Sales")</f>
        <v>High Sales</v>
      </c>
    </row>
    <row r="278" spans="2:16" ht="15" x14ac:dyDescent="0.25">
      <c r="B278" s="2" t="s">
        <v>324</v>
      </c>
      <c r="C278" s="2" t="s">
        <v>756</v>
      </c>
      <c r="D278" s="7">
        <v>2023</v>
      </c>
      <c r="E278" s="7" t="s">
        <v>759</v>
      </c>
      <c r="F278" s="3">
        <v>45239</v>
      </c>
      <c r="G278" s="4">
        <v>977</v>
      </c>
      <c r="H278" s="4">
        <v>6</v>
      </c>
      <c r="I278" s="4" t="str">
        <f t="shared" si="4"/>
        <v>Standard</v>
      </c>
      <c r="J278" s="2" t="s">
        <v>18</v>
      </c>
      <c r="K278" s="2" t="s">
        <v>19</v>
      </c>
      <c r="L278" s="4">
        <v>4</v>
      </c>
      <c r="M278" s="4">
        <v>183.45</v>
      </c>
      <c r="N278" s="4">
        <v>733.8</v>
      </c>
      <c r="O278" s="2" t="s">
        <v>31</v>
      </c>
      <c r="P278" t="str">
        <f>IF('Cleaned Data'!N278&gt;JOTTING!F291,"High Sales","Low Sales")</f>
        <v>High Sales</v>
      </c>
    </row>
    <row r="279" spans="2:16" ht="15" x14ac:dyDescent="0.25">
      <c r="B279" s="2" t="s">
        <v>325</v>
      </c>
      <c r="C279" s="2" t="s">
        <v>756</v>
      </c>
      <c r="D279" s="7">
        <v>2023</v>
      </c>
      <c r="E279" s="7" t="s">
        <v>759</v>
      </c>
      <c r="F279" s="3">
        <v>45244</v>
      </c>
      <c r="G279" s="4">
        <v>983</v>
      </c>
      <c r="H279" s="4">
        <v>1</v>
      </c>
      <c r="I279" s="4" t="str">
        <f t="shared" si="4"/>
        <v>Early</v>
      </c>
      <c r="J279" s="2" t="s">
        <v>55</v>
      </c>
      <c r="K279" s="2" t="s">
        <v>19</v>
      </c>
      <c r="L279" s="4">
        <v>3</v>
      </c>
      <c r="M279" s="4">
        <v>371.49</v>
      </c>
      <c r="N279" s="4">
        <v>1114.47</v>
      </c>
      <c r="O279" s="2" t="s">
        <v>43</v>
      </c>
      <c r="P279" t="str">
        <f>IF('Cleaned Data'!N279&gt;JOTTING!F292,"High Sales","Low Sales")</f>
        <v>High Sales</v>
      </c>
    </row>
    <row r="280" spans="2:16" ht="15" x14ac:dyDescent="0.25">
      <c r="B280" s="2" t="s">
        <v>326</v>
      </c>
      <c r="C280" s="2" t="s">
        <v>755</v>
      </c>
      <c r="D280" s="7">
        <v>2023</v>
      </c>
      <c r="E280" s="7" t="s">
        <v>765</v>
      </c>
      <c r="F280" s="3">
        <v>45083</v>
      </c>
      <c r="G280" s="4">
        <v>313</v>
      </c>
      <c r="H280" s="4">
        <v>8</v>
      </c>
      <c r="I280" s="4" t="str">
        <f t="shared" si="4"/>
        <v>Slow</v>
      </c>
      <c r="J280" s="2" t="s">
        <v>55</v>
      </c>
      <c r="K280" s="2" t="s">
        <v>25</v>
      </c>
      <c r="L280" s="4">
        <v>4</v>
      </c>
      <c r="M280" s="4">
        <v>391.55</v>
      </c>
      <c r="N280" s="4">
        <v>1566.2</v>
      </c>
      <c r="O280" s="2" t="s">
        <v>43</v>
      </c>
      <c r="P280" t="str">
        <f>IF('Cleaned Data'!N280&gt;JOTTING!F293,"High Sales","Low Sales")</f>
        <v>High Sales</v>
      </c>
    </row>
    <row r="281" spans="2:16" ht="15" x14ac:dyDescent="0.25">
      <c r="B281" s="2" t="s">
        <v>327</v>
      </c>
      <c r="C281" s="2" t="s">
        <v>757</v>
      </c>
      <c r="D281" s="7">
        <v>2023</v>
      </c>
      <c r="E281" s="7" t="s">
        <v>762</v>
      </c>
      <c r="F281" s="3">
        <v>45135</v>
      </c>
      <c r="G281" s="4">
        <v>754</v>
      </c>
      <c r="H281" s="4">
        <v>7</v>
      </c>
      <c r="I281" s="4" t="str">
        <f t="shared" si="4"/>
        <v>Slow</v>
      </c>
      <c r="J281" s="2" t="s">
        <v>42</v>
      </c>
      <c r="K281" s="2" t="s">
        <v>25</v>
      </c>
      <c r="L281" s="4">
        <v>1</v>
      </c>
      <c r="M281" s="4">
        <v>96.13</v>
      </c>
      <c r="N281" s="4">
        <v>96.13</v>
      </c>
      <c r="O281" s="2" t="s">
        <v>26</v>
      </c>
      <c r="P281" t="str">
        <f>IF('Cleaned Data'!N281&gt;JOTTING!F294,"High Sales","Low Sales")</f>
        <v>High Sales</v>
      </c>
    </row>
    <row r="282" spans="2:16" ht="15" x14ac:dyDescent="0.25">
      <c r="B282" s="2" t="s">
        <v>328</v>
      </c>
      <c r="C282" s="2" t="s">
        <v>753</v>
      </c>
      <c r="D282" s="7">
        <v>2023</v>
      </c>
      <c r="E282" s="7" t="s">
        <v>769</v>
      </c>
      <c r="F282" s="3">
        <v>45025</v>
      </c>
      <c r="G282" s="4">
        <v>475</v>
      </c>
      <c r="H282" s="4">
        <v>6</v>
      </c>
      <c r="I282" s="4" t="str">
        <f t="shared" si="4"/>
        <v>Standard</v>
      </c>
      <c r="J282" s="2" t="s">
        <v>63</v>
      </c>
      <c r="K282" s="2" t="s">
        <v>25</v>
      </c>
      <c r="L282" s="4">
        <v>3</v>
      </c>
      <c r="M282" s="4">
        <v>281.23</v>
      </c>
      <c r="N282" s="4">
        <v>843.69</v>
      </c>
      <c r="O282" s="2" t="s">
        <v>31</v>
      </c>
      <c r="P282" t="str">
        <f>IF('Cleaned Data'!N282&gt;JOTTING!F295,"High Sales","Low Sales")</f>
        <v>High Sales</v>
      </c>
    </row>
    <row r="283" spans="2:16" ht="15" x14ac:dyDescent="0.25">
      <c r="B283" s="2" t="s">
        <v>329</v>
      </c>
      <c r="C283" s="2" t="s">
        <v>756</v>
      </c>
      <c r="D283" s="7">
        <v>2023</v>
      </c>
      <c r="E283" s="7" t="s">
        <v>767</v>
      </c>
      <c r="F283" s="3">
        <v>45004</v>
      </c>
      <c r="G283" s="4">
        <v>843</v>
      </c>
      <c r="H283" s="4">
        <v>6</v>
      </c>
      <c r="I283" s="4" t="str">
        <f t="shared" si="4"/>
        <v>Standard</v>
      </c>
      <c r="J283" s="2" t="s">
        <v>63</v>
      </c>
      <c r="K283" s="2" t="s">
        <v>25</v>
      </c>
      <c r="L283" s="4">
        <v>1</v>
      </c>
      <c r="M283" s="4">
        <v>279</v>
      </c>
      <c r="N283" s="4">
        <v>279</v>
      </c>
      <c r="O283" s="2" t="s">
        <v>43</v>
      </c>
      <c r="P283" t="str">
        <f>IF('Cleaned Data'!N283&gt;JOTTING!F296,"High Sales","Low Sales")</f>
        <v>High Sales</v>
      </c>
    </row>
    <row r="284" spans="2:16" ht="15" x14ac:dyDescent="0.25">
      <c r="B284" s="2" t="s">
        <v>330</v>
      </c>
      <c r="C284" s="2" t="s">
        <v>755</v>
      </c>
      <c r="D284" s="7">
        <v>2023</v>
      </c>
      <c r="E284" s="7" t="s">
        <v>762</v>
      </c>
      <c r="F284" s="3">
        <v>45116</v>
      </c>
      <c r="G284" s="4">
        <v>312</v>
      </c>
      <c r="H284" s="4">
        <v>5</v>
      </c>
      <c r="I284" s="4" t="str">
        <f t="shared" si="4"/>
        <v>Standard</v>
      </c>
      <c r="J284" s="2" t="s">
        <v>63</v>
      </c>
      <c r="K284" s="2" t="s">
        <v>49</v>
      </c>
      <c r="L284" s="4">
        <v>3</v>
      </c>
      <c r="M284" s="4">
        <v>216.18</v>
      </c>
      <c r="N284" s="4">
        <v>648.54</v>
      </c>
      <c r="O284" s="2" t="s">
        <v>31</v>
      </c>
      <c r="P284" t="str">
        <f>IF('Cleaned Data'!N284&gt;JOTTING!F297,"High Sales","Low Sales")</f>
        <v>High Sales</v>
      </c>
    </row>
    <row r="285" spans="2:16" ht="15" x14ac:dyDescent="0.25">
      <c r="B285" s="2" t="s">
        <v>331</v>
      </c>
      <c r="C285" s="2" t="s">
        <v>754</v>
      </c>
      <c r="D285" s="7">
        <v>2023</v>
      </c>
      <c r="E285" s="7" t="s">
        <v>768</v>
      </c>
      <c r="F285" s="3">
        <v>45150</v>
      </c>
      <c r="G285" s="4">
        <v>178</v>
      </c>
      <c r="H285" s="4">
        <v>6</v>
      </c>
      <c r="I285" s="4" t="str">
        <f t="shared" si="4"/>
        <v>Standard</v>
      </c>
      <c r="J285" s="2" t="s">
        <v>30</v>
      </c>
      <c r="K285" s="2" t="s">
        <v>39</v>
      </c>
      <c r="L285" s="4">
        <v>2</v>
      </c>
      <c r="M285" s="4">
        <v>469.82</v>
      </c>
      <c r="N285" s="4">
        <v>939.64</v>
      </c>
      <c r="O285" s="2" t="s">
        <v>43</v>
      </c>
      <c r="P285" t="str">
        <f>IF('Cleaned Data'!N285&gt;JOTTING!F298,"High Sales","Low Sales")</f>
        <v>High Sales</v>
      </c>
    </row>
    <row r="286" spans="2:16" ht="15" x14ac:dyDescent="0.25">
      <c r="B286" s="2" t="s">
        <v>332</v>
      </c>
      <c r="C286" s="2" t="s">
        <v>753</v>
      </c>
      <c r="D286" s="7">
        <v>2023</v>
      </c>
      <c r="E286" s="7" t="s">
        <v>760</v>
      </c>
      <c r="F286" s="3">
        <v>45059</v>
      </c>
      <c r="G286" s="4">
        <v>825</v>
      </c>
      <c r="H286" s="4">
        <v>9</v>
      </c>
      <c r="I286" s="4" t="str">
        <f t="shared" si="4"/>
        <v>Slow</v>
      </c>
      <c r="J286" s="2" t="s">
        <v>30</v>
      </c>
      <c r="K286" s="2" t="s">
        <v>57</v>
      </c>
      <c r="L286" s="4">
        <v>3</v>
      </c>
      <c r="M286" s="4">
        <v>422.38</v>
      </c>
      <c r="N286" s="4">
        <v>1267.1400000000001</v>
      </c>
      <c r="O286" s="2" t="s">
        <v>26</v>
      </c>
      <c r="P286" t="str">
        <f>IF('Cleaned Data'!N286&gt;JOTTING!F299,"High Sales","Low Sales")</f>
        <v>High Sales</v>
      </c>
    </row>
    <row r="287" spans="2:16" ht="15" x14ac:dyDescent="0.25">
      <c r="B287" s="2" t="s">
        <v>333</v>
      </c>
      <c r="C287" s="2" t="s">
        <v>756</v>
      </c>
      <c r="D287" s="7">
        <v>2023</v>
      </c>
      <c r="E287" s="7" t="s">
        <v>768</v>
      </c>
      <c r="F287" s="3">
        <v>45143</v>
      </c>
      <c r="G287" s="4">
        <v>727</v>
      </c>
      <c r="H287" s="4">
        <v>9</v>
      </c>
      <c r="I287" s="4" t="str">
        <f t="shared" si="4"/>
        <v>Slow</v>
      </c>
      <c r="J287" s="2" t="s">
        <v>30</v>
      </c>
      <c r="K287" s="2" t="s">
        <v>25</v>
      </c>
      <c r="L287" s="4">
        <v>4</v>
      </c>
      <c r="M287" s="4">
        <v>363.74</v>
      </c>
      <c r="N287" s="4">
        <v>1454.96</v>
      </c>
      <c r="O287" s="2" t="s">
        <v>43</v>
      </c>
      <c r="P287" t="str">
        <f>IF('Cleaned Data'!N287&gt;JOTTING!F300,"High Sales","Low Sales")</f>
        <v>High Sales</v>
      </c>
    </row>
    <row r="288" spans="2:16" ht="15" x14ac:dyDescent="0.25">
      <c r="B288" s="2" t="s">
        <v>334</v>
      </c>
      <c r="C288" s="2" t="s">
        <v>757</v>
      </c>
      <c r="D288" s="7">
        <v>2023</v>
      </c>
      <c r="E288" s="7" t="s">
        <v>759</v>
      </c>
      <c r="F288" s="3">
        <v>45258</v>
      </c>
      <c r="G288" s="4">
        <v>703</v>
      </c>
      <c r="H288" s="4">
        <v>8</v>
      </c>
      <c r="I288" s="4" t="str">
        <f t="shared" si="4"/>
        <v>Slow</v>
      </c>
      <c r="J288" s="2" t="s">
        <v>55</v>
      </c>
      <c r="K288" s="2" t="s">
        <v>57</v>
      </c>
      <c r="L288" s="4">
        <v>3</v>
      </c>
      <c r="M288" s="4">
        <v>371.45</v>
      </c>
      <c r="N288" s="4">
        <v>1114.3499999999999</v>
      </c>
      <c r="O288" s="2" t="s">
        <v>20</v>
      </c>
      <c r="P288" t="str">
        <f>IF('Cleaned Data'!N288&gt;JOTTING!F301,"High Sales","Low Sales")</f>
        <v>High Sales</v>
      </c>
    </row>
    <row r="289" spans="2:16" ht="15" x14ac:dyDescent="0.25">
      <c r="B289" s="2" t="s">
        <v>335</v>
      </c>
      <c r="C289" s="2" t="s">
        <v>754</v>
      </c>
      <c r="D289" s="7">
        <v>2023</v>
      </c>
      <c r="E289" s="7" t="s">
        <v>768</v>
      </c>
      <c r="F289" s="3">
        <v>45139</v>
      </c>
      <c r="G289" s="4">
        <v>881</v>
      </c>
      <c r="H289" s="4">
        <v>9</v>
      </c>
      <c r="I289" s="4" t="str">
        <f t="shared" si="4"/>
        <v>Slow</v>
      </c>
      <c r="J289" s="2" t="s">
        <v>55</v>
      </c>
      <c r="K289" s="2" t="s">
        <v>39</v>
      </c>
      <c r="L289" s="4">
        <v>1</v>
      </c>
      <c r="M289" s="4">
        <v>257.77</v>
      </c>
      <c r="N289" s="4">
        <v>257.77</v>
      </c>
      <c r="O289" s="2" t="s">
        <v>31</v>
      </c>
      <c r="P289" t="str">
        <f>IF('Cleaned Data'!N289&gt;JOTTING!F302,"High Sales","Low Sales")</f>
        <v>High Sales</v>
      </c>
    </row>
    <row r="290" spans="2:16" ht="15" x14ac:dyDescent="0.25">
      <c r="B290" s="2" t="s">
        <v>336</v>
      </c>
      <c r="C290" s="2" t="s">
        <v>755</v>
      </c>
      <c r="D290" s="7">
        <v>2023</v>
      </c>
      <c r="E290" s="7" t="s">
        <v>766</v>
      </c>
      <c r="F290" s="3">
        <v>45198</v>
      </c>
      <c r="G290" s="4">
        <v>480</v>
      </c>
      <c r="H290" s="4">
        <v>8</v>
      </c>
      <c r="I290" s="4" t="str">
        <f t="shared" si="4"/>
        <v>Slow</v>
      </c>
      <c r="J290" s="2" t="s">
        <v>42</v>
      </c>
      <c r="K290" s="2" t="s">
        <v>19</v>
      </c>
      <c r="L290" s="4">
        <v>1</v>
      </c>
      <c r="M290" s="4">
        <v>464.45</v>
      </c>
      <c r="N290" s="4">
        <v>464.45</v>
      </c>
      <c r="O290" s="2" t="s">
        <v>43</v>
      </c>
      <c r="P290" t="str">
        <f>IF('Cleaned Data'!N290&gt;JOTTING!F303,"High Sales","Low Sales")</f>
        <v>High Sales</v>
      </c>
    </row>
    <row r="291" spans="2:16" ht="15" x14ac:dyDescent="0.25">
      <c r="B291" s="2" t="s">
        <v>337</v>
      </c>
      <c r="C291" s="2" t="s">
        <v>754</v>
      </c>
      <c r="D291" s="7">
        <v>2023</v>
      </c>
      <c r="E291" s="7" t="s">
        <v>770</v>
      </c>
      <c r="F291" s="3">
        <v>45228</v>
      </c>
      <c r="G291" s="4">
        <v>779</v>
      </c>
      <c r="H291" s="4">
        <v>8</v>
      </c>
      <c r="I291" s="4" t="str">
        <f t="shared" si="4"/>
        <v>Slow</v>
      </c>
      <c r="J291" s="2" t="s">
        <v>63</v>
      </c>
      <c r="K291" s="2" t="s">
        <v>39</v>
      </c>
      <c r="L291" s="4">
        <v>3</v>
      </c>
      <c r="M291" s="4">
        <v>362.57</v>
      </c>
      <c r="N291" s="4">
        <v>1087.71</v>
      </c>
      <c r="O291" s="2" t="s">
        <v>31</v>
      </c>
      <c r="P291" t="str">
        <f>IF('Cleaned Data'!N291&gt;JOTTING!F304,"High Sales","Low Sales")</f>
        <v>High Sales</v>
      </c>
    </row>
    <row r="292" spans="2:16" ht="15" x14ac:dyDescent="0.25">
      <c r="B292" s="2" t="s">
        <v>338</v>
      </c>
      <c r="C292" s="2" t="s">
        <v>753</v>
      </c>
      <c r="D292" s="7">
        <v>2023</v>
      </c>
      <c r="E292" s="7" t="s">
        <v>763</v>
      </c>
      <c r="F292" s="3">
        <v>45288</v>
      </c>
      <c r="G292" s="4">
        <v>157</v>
      </c>
      <c r="H292" s="4">
        <v>1</v>
      </c>
      <c r="I292" s="4" t="str">
        <f t="shared" si="4"/>
        <v>Early</v>
      </c>
      <c r="J292" s="2" t="s">
        <v>18</v>
      </c>
      <c r="K292" s="2" t="s">
        <v>25</v>
      </c>
      <c r="L292" s="4">
        <v>4</v>
      </c>
      <c r="M292" s="4">
        <v>378.04</v>
      </c>
      <c r="N292" s="4">
        <v>1512.16</v>
      </c>
      <c r="O292" s="2" t="s">
        <v>20</v>
      </c>
      <c r="P292" t="str">
        <f>IF('Cleaned Data'!N292&gt;JOTTING!F305,"High Sales","Low Sales")</f>
        <v>High Sales</v>
      </c>
    </row>
    <row r="293" spans="2:16" ht="15" x14ac:dyDescent="0.25">
      <c r="B293" s="2" t="s">
        <v>339</v>
      </c>
      <c r="C293" s="2" t="s">
        <v>754</v>
      </c>
      <c r="D293" s="7">
        <v>2023</v>
      </c>
      <c r="E293" s="7" t="s">
        <v>768</v>
      </c>
      <c r="F293" s="3">
        <v>45152</v>
      </c>
      <c r="G293" s="4">
        <v>895</v>
      </c>
      <c r="H293" s="4">
        <v>5</v>
      </c>
      <c r="I293" s="4" t="str">
        <f t="shared" si="4"/>
        <v>Standard</v>
      </c>
      <c r="J293" s="2" t="s">
        <v>24</v>
      </c>
      <c r="K293" s="2" t="s">
        <v>25</v>
      </c>
      <c r="L293" s="4">
        <v>2</v>
      </c>
      <c r="M293" s="4">
        <v>437.76</v>
      </c>
      <c r="N293" s="4">
        <v>875.52</v>
      </c>
      <c r="O293" s="2" t="s">
        <v>20</v>
      </c>
      <c r="P293" t="str">
        <f>IF('Cleaned Data'!N293&gt;JOTTING!F306,"High Sales","Low Sales")</f>
        <v>High Sales</v>
      </c>
    </row>
    <row r="294" spans="2:16" ht="15" x14ac:dyDescent="0.25">
      <c r="B294" s="2" t="s">
        <v>340</v>
      </c>
      <c r="C294" s="2" t="s">
        <v>753</v>
      </c>
      <c r="D294" s="7">
        <v>2023</v>
      </c>
      <c r="E294" s="7" t="s">
        <v>770</v>
      </c>
      <c r="F294" s="3">
        <v>45225</v>
      </c>
      <c r="G294" s="4">
        <v>125</v>
      </c>
      <c r="H294" s="4">
        <v>4</v>
      </c>
      <c r="I294" s="4" t="str">
        <f t="shared" si="4"/>
        <v>Standard</v>
      </c>
      <c r="J294" s="2" t="s">
        <v>18</v>
      </c>
      <c r="K294" s="2" t="s">
        <v>25</v>
      </c>
      <c r="L294" s="4">
        <v>4</v>
      </c>
      <c r="M294" s="4">
        <v>173.33</v>
      </c>
      <c r="N294" s="4">
        <v>693.32</v>
      </c>
      <c r="O294" s="2" t="s">
        <v>20</v>
      </c>
      <c r="P294" t="str">
        <f>IF('Cleaned Data'!N294&gt;JOTTING!F307,"High Sales","Low Sales")</f>
        <v>High Sales</v>
      </c>
    </row>
    <row r="295" spans="2:16" ht="15" x14ac:dyDescent="0.25">
      <c r="B295" s="2" t="s">
        <v>341</v>
      </c>
      <c r="C295" s="2" t="s">
        <v>755</v>
      </c>
      <c r="D295" s="7">
        <v>2023</v>
      </c>
      <c r="E295" s="7" t="s">
        <v>763</v>
      </c>
      <c r="F295" s="3">
        <v>45280</v>
      </c>
      <c r="G295" s="4">
        <v>980</v>
      </c>
      <c r="H295" s="4">
        <v>2</v>
      </c>
      <c r="I295" s="4" t="str">
        <f t="shared" si="4"/>
        <v>Early</v>
      </c>
      <c r="J295" s="2" t="s">
        <v>51</v>
      </c>
      <c r="K295" s="2" t="s">
        <v>19</v>
      </c>
      <c r="L295" s="4">
        <v>2</v>
      </c>
      <c r="M295" s="4">
        <v>413.18</v>
      </c>
      <c r="N295" s="4">
        <v>826.36</v>
      </c>
      <c r="O295" s="2" t="s">
        <v>31</v>
      </c>
      <c r="P295" t="str">
        <f>IF('Cleaned Data'!N295&gt;JOTTING!F308,"High Sales","Low Sales")</f>
        <v>High Sales</v>
      </c>
    </row>
    <row r="296" spans="2:16" ht="15" x14ac:dyDescent="0.25">
      <c r="B296" s="2" t="s">
        <v>342</v>
      </c>
      <c r="C296" s="2" t="s">
        <v>757</v>
      </c>
      <c r="D296" s="7">
        <v>2023</v>
      </c>
      <c r="E296" s="7" t="s">
        <v>763</v>
      </c>
      <c r="F296" s="3">
        <v>45279</v>
      </c>
      <c r="G296" s="4">
        <v>546</v>
      </c>
      <c r="H296" s="4">
        <v>8</v>
      </c>
      <c r="I296" s="4" t="str">
        <f t="shared" si="4"/>
        <v>Slow</v>
      </c>
      <c r="J296" s="2" t="s">
        <v>55</v>
      </c>
      <c r="K296" s="2" t="s">
        <v>49</v>
      </c>
      <c r="L296" s="4">
        <v>1</v>
      </c>
      <c r="M296" s="4">
        <v>137.86000000000001</v>
      </c>
      <c r="N296" s="4">
        <v>137.86000000000001</v>
      </c>
      <c r="O296" s="2" t="s">
        <v>43</v>
      </c>
      <c r="P296" t="str">
        <f>IF('Cleaned Data'!N296&gt;JOTTING!F309,"High Sales","Low Sales")</f>
        <v>High Sales</v>
      </c>
    </row>
    <row r="297" spans="2:16" ht="15" x14ac:dyDescent="0.25">
      <c r="B297" s="2" t="s">
        <v>343</v>
      </c>
      <c r="C297" s="2" t="s">
        <v>754</v>
      </c>
      <c r="D297" s="7">
        <v>2023</v>
      </c>
      <c r="E297" s="7" t="s">
        <v>764</v>
      </c>
      <c r="F297" s="3">
        <v>44981</v>
      </c>
      <c r="G297" s="4">
        <v>165</v>
      </c>
      <c r="H297" s="4">
        <v>3</v>
      </c>
      <c r="I297" s="4" t="str">
        <f t="shared" si="4"/>
        <v>Standard</v>
      </c>
      <c r="J297" s="2" t="s">
        <v>42</v>
      </c>
      <c r="K297" s="2" t="s">
        <v>19</v>
      </c>
      <c r="L297" s="4">
        <v>4</v>
      </c>
      <c r="M297" s="4">
        <v>205.4</v>
      </c>
      <c r="N297" s="4">
        <v>821.6</v>
      </c>
      <c r="O297" s="2" t="s">
        <v>43</v>
      </c>
      <c r="P297" t="str">
        <f>IF('Cleaned Data'!N297&gt;JOTTING!F310,"High Sales","Low Sales")</f>
        <v>High Sales</v>
      </c>
    </row>
    <row r="298" spans="2:16" ht="15" x14ac:dyDescent="0.25">
      <c r="B298" s="2" t="s">
        <v>344</v>
      </c>
      <c r="C298" s="2" t="s">
        <v>756</v>
      </c>
      <c r="D298" s="7">
        <v>2023</v>
      </c>
      <c r="E298" s="7" t="s">
        <v>765</v>
      </c>
      <c r="F298" s="3">
        <v>45079</v>
      </c>
      <c r="G298" s="4">
        <v>859</v>
      </c>
      <c r="H298" s="4">
        <v>4</v>
      </c>
      <c r="I298" s="4" t="str">
        <f t="shared" si="4"/>
        <v>Standard</v>
      </c>
      <c r="J298" s="2" t="s">
        <v>42</v>
      </c>
      <c r="K298" s="2" t="s">
        <v>19</v>
      </c>
      <c r="L298" s="4">
        <v>2</v>
      </c>
      <c r="M298" s="4">
        <v>201.02</v>
      </c>
      <c r="N298" s="4">
        <v>402.04</v>
      </c>
      <c r="O298" s="2" t="s">
        <v>43</v>
      </c>
      <c r="P298" t="str">
        <f>IF('Cleaned Data'!N298&gt;JOTTING!F311,"High Sales","Low Sales")</f>
        <v>High Sales</v>
      </c>
    </row>
    <row r="299" spans="2:16" ht="15" x14ac:dyDescent="0.25">
      <c r="B299" s="2" t="s">
        <v>345</v>
      </c>
      <c r="C299" s="2" t="s">
        <v>754</v>
      </c>
      <c r="D299" s="7">
        <v>2023</v>
      </c>
      <c r="E299" s="7" t="s">
        <v>760</v>
      </c>
      <c r="F299" s="3">
        <v>45052</v>
      </c>
      <c r="G299" s="4">
        <v>353</v>
      </c>
      <c r="H299" s="4">
        <v>7</v>
      </c>
      <c r="I299" s="4" t="str">
        <f t="shared" si="4"/>
        <v>Slow</v>
      </c>
      <c r="J299" s="2" t="s">
        <v>30</v>
      </c>
      <c r="K299" s="2" t="s">
        <v>49</v>
      </c>
      <c r="L299" s="4">
        <v>3</v>
      </c>
      <c r="M299" s="4">
        <v>490.34</v>
      </c>
      <c r="N299" s="4">
        <v>1471.02</v>
      </c>
      <c r="O299" s="2" t="s">
        <v>43</v>
      </c>
      <c r="P299" t="str">
        <f>IF('Cleaned Data'!N299&gt;JOTTING!F312,"High Sales","Low Sales")</f>
        <v>High Sales</v>
      </c>
    </row>
    <row r="300" spans="2:16" ht="15" x14ac:dyDescent="0.25">
      <c r="B300" s="2" t="s">
        <v>346</v>
      </c>
      <c r="C300" s="2" t="s">
        <v>756</v>
      </c>
      <c r="D300" s="7">
        <v>2023</v>
      </c>
      <c r="E300" s="7" t="s">
        <v>764</v>
      </c>
      <c r="F300" s="3">
        <v>44967</v>
      </c>
      <c r="G300" s="4">
        <v>998</v>
      </c>
      <c r="H300" s="4">
        <v>9</v>
      </c>
      <c r="I300" s="4" t="str">
        <f t="shared" si="4"/>
        <v>Slow</v>
      </c>
      <c r="J300" s="2" t="s">
        <v>42</v>
      </c>
      <c r="K300" s="2" t="s">
        <v>49</v>
      </c>
      <c r="L300" s="4">
        <v>1</v>
      </c>
      <c r="M300" s="4">
        <v>435.44</v>
      </c>
      <c r="N300" s="4">
        <v>435.44</v>
      </c>
      <c r="O300" s="2" t="s">
        <v>26</v>
      </c>
      <c r="P300" t="str">
        <f>IF('Cleaned Data'!N300&gt;JOTTING!F313,"High Sales","Low Sales")</f>
        <v>High Sales</v>
      </c>
    </row>
    <row r="301" spans="2:16" ht="15" x14ac:dyDescent="0.25">
      <c r="B301" s="2" t="s">
        <v>347</v>
      </c>
      <c r="C301" s="2" t="s">
        <v>756</v>
      </c>
      <c r="D301" s="7">
        <v>2023</v>
      </c>
      <c r="E301" s="7" t="s">
        <v>768</v>
      </c>
      <c r="F301" s="3">
        <v>45160</v>
      </c>
      <c r="G301" s="4">
        <v>143</v>
      </c>
      <c r="H301" s="4">
        <v>2</v>
      </c>
      <c r="I301" s="4" t="str">
        <f t="shared" si="4"/>
        <v>Early</v>
      </c>
      <c r="J301" s="2" t="s">
        <v>55</v>
      </c>
      <c r="K301" s="2" t="s">
        <v>57</v>
      </c>
      <c r="L301" s="4">
        <v>3</v>
      </c>
      <c r="M301" s="4">
        <v>365.53</v>
      </c>
      <c r="N301" s="4">
        <v>1096.5899999999999</v>
      </c>
      <c r="O301" s="2" t="s">
        <v>31</v>
      </c>
      <c r="P301" t="str">
        <f>IF('Cleaned Data'!N301&gt;JOTTING!F314,"High Sales","Low Sales")</f>
        <v>High Sales</v>
      </c>
    </row>
    <row r="302" spans="2:16" ht="15" x14ac:dyDescent="0.25">
      <c r="B302" s="2" t="s">
        <v>348</v>
      </c>
      <c r="C302" s="2" t="s">
        <v>753</v>
      </c>
      <c r="D302" s="7">
        <v>2023</v>
      </c>
      <c r="E302" s="7" t="s">
        <v>766</v>
      </c>
      <c r="F302" s="3">
        <v>45198</v>
      </c>
      <c r="G302" s="4">
        <v>196</v>
      </c>
      <c r="H302" s="4">
        <v>3</v>
      </c>
      <c r="I302" s="4" t="str">
        <f t="shared" si="4"/>
        <v>Standard</v>
      </c>
      <c r="J302" s="2" t="s">
        <v>42</v>
      </c>
      <c r="K302" s="2" t="s">
        <v>39</v>
      </c>
      <c r="L302" s="4">
        <v>1</v>
      </c>
      <c r="M302" s="4">
        <v>377.18</v>
      </c>
      <c r="N302" s="4">
        <v>377.18</v>
      </c>
      <c r="O302" s="2" t="s">
        <v>26</v>
      </c>
      <c r="P302" t="str">
        <f>IF('Cleaned Data'!N302&gt;JOTTING!F315,"High Sales","Low Sales")</f>
        <v>High Sales</v>
      </c>
    </row>
    <row r="303" spans="2:16" ht="15" x14ac:dyDescent="0.25">
      <c r="B303" s="2" t="s">
        <v>349</v>
      </c>
      <c r="C303" s="2" t="s">
        <v>754</v>
      </c>
      <c r="D303" s="7">
        <v>2023</v>
      </c>
      <c r="E303" s="7" t="s">
        <v>759</v>
      </c>
      <c r="F303" s="3">
        <v>45240</v>
      </c>
      <c r="G303" s="4">
        <v>653</v>
      </c>
      <c r="H303" s="4">
        <v>4</v>
      </c>
      <c r="I303" s="4" t="str">
        <f t="shared" si="4"/>
        <v>Standard</v>
      </c>
      <c r="J303" s="2" t="s">
        <v>42</v>
      </c>
      <c r="K303" s="2" t="s">
        <v>25</v>
      </c>
      <c r="L303" s="4">
        <v>4</v>
      </c>
      <c r="M303" s="4">
        <v>302.93</v>
      </c>
      <c r="N303" s="4">
        <v>1211.72</v>
      </c>
      <c r="O303" s="2" t="s">
        <v>26</v>
      </c>
      <c r="P303" t="str">
        <f>IF('Cleaned Data'!N303&gt;JOTTING!F316,"High Sales","Low Sales")</f>
        <v>High Sales</v>
      </c>
    </row>
    <row r="304" spans="2:16" ht="15" x14ac:dyDescent="0.25">
      <c r="B304" s="2" t="s">
        <v>350</v>
      </c>
      <c r="C304" s="2" t="s">
        <v>753</v>
      </c>
      <c r="D304" s="7">
        <v>2023</v>
      </c>
      <c r="E304" s="7" t="s">
        <v>764</v>
      </c>
      <c r="F304" s="3">
        <v>44972</v>
      </c>
      <c r="G304" s="4">
        <v>326</v>
      </c>
      <c r="H304" s="4">
        <v>1</v>
      </c>
      <c r="I304" s="4" t="str">
        <f t="shared" si="4"/>
        <v>Early</v>
      </c>
      <c r="J304" s="2" t="s">
        <v>51</v>
      </c>
      <c r="K304" s="2" t="s">
        <v>25</v>
      </c>
      <c r="L304" s="4">
        <v>4</v>
      </c>
      <c r="M304" s="4">
        <v>476.19</v>
      </c>
      <c r="N304" s="4">
        <v>1904.76</v>
      </c>
      <c r="O304" s="2" t="s">
        <v>26</v>
      </c>
      <c r="P304" t="str">
        <f>IF('Cleaned Data'!N304&gt;JOTTING!F317,"High Sales","Low Sales")</f>
        <v>High Sales</v>
      </c>
    </row>
    <row r="305" spans="2:16" ht="15" x14ac:dyDescent="0.25">
      <c r="B305" s="2" t="s">
        <v>351</v>
      </c>
      <c r="C305" s="2" t="s">
        <v>755</v>
      </c>
      <c r="D305" s="7">
        <v>2023</v>
      </c>
      <c r="E305" s="7" t="s">
        <v>759</v>
      </c>
      <c r="F305" s="3">
        <v>45253</v>
      </c>
      <c r="G305" s="4">
        <v>873</v>
      </c>
      <c r="H305" s="4">
        <v>7</v>
      </c>
      <c r="I305" s="4" t="str">
        <f t="shared" si="4"/>
        <v>Slow</v>
      </c>
      <c r="J305" s="2" t="s">
        <v>18</v>
      </c>
      <c r="K305" s="2" t="s">
        <v>19</v>
      </c>
      <c r="L305" s="4">
        <v>1</v>
      </c>
      <c r="M305" s="4">
        <v>273.32</v>
      </c>
      <c r="N305" s="4">
        <v>273.32</v>
      </c>
      <c r="O305" s="2" t="s">
        <v>31</v>
      </c>
      <c r="P305" t="str">
        <f>IF('Cleaned Data'!N305&gt;JOTTING!F318,"High Sales","Low Sales")</f>
        <v>High Sales</v>
      </c>
    </row>
    <row r="306" spans="2:16" ht="15" x14ac:dyDescent="0.25">
      <c r="B306" s="2" t="s">
        <v>352</v>
      </c>
      <c r="C306" s="2" t="s">
        <v>756</v>
      </c>
      <c r="D306" s="7">
        <v>2023</v>
      </c>
      <c r="E306" s="7" t="s">
        <v>768</v>
      </c>
      <c r="F306" s="3">
        <v>45163</v>
      </c>
      <c r="G306" s="4">
        <v>778</v>
      </c>
      <c r="H306" s="4">
        <v>2</v>
      </c>
      <c r="I306" s="4" t="str">
        <f t="shared" si="4"/>
        <v>Early</v>
      </c>
      <c r="J306" s="2" t="s">
        <v>42</v>
      </c>
      <c r="K306" s="2" t="s">
        <v>25</v>
      </c>
      <c r="L306" s="4">
        <v>1</v>
      </c>
      <c r="M306" s="4">
        <v>221.23</v>
      </c>
      <c r="N306" s="4">
        <v>221.23</v>
      </c>
      <c r="O306" s="2" t="s">
        <v>43</v>
      </c>
      <c r="P306" t="str">
        <f>IF('Cleaned Data'!N306&gt;JOTTING!F319,"High Sales","Low Sales")</f>
        <v>High Sales</v>
      </c>
    </row>
    <row r="307" spans="2:16" ht="15" x14ac:dyDescent="0.25">
      <c r="B307" s="2" t="s">
        <v>353</v>
      </c>
      <c r="C307" s="2" t="s">
        <v>755</v>
      </c>
      <c r="D307" s="7">
        <v>2023</v>
      </c>
      <c r="E307" s="7" t="s">
        <v>766</v>
      </c>
      <c r="F307" s="3">
        <v>45188</v>
      </c>
      <c r="G307" s="4">
        <v>535</v>
      </c>
      <c r="H307" s="4">
        <v>5</v>
      </c>
      <c r="I307" s="4" t="str">
        <f t="shared" si="4"/>
        <v>Standard</v>
      </c>
      <c r="J307" s="2" t="s">
        <v>55</v>
      </c>
      <c r="K307" s="2" t="s">
        <v>19</v>
      </c>
      <c r="L307" s="4">
        <v>1</v>
      </c>
      <c r="M307" s="4">
        <v>123.37</v>
      </c>
      <c r="N307" s="4">
        <v>123.37</v>
      </c>
      <c r="O307" s="2" t="s">
        <v>43</v>
      </c>
      <c r="P307" t="str">
        <f>IF('Cleaned Data'!N307&gt;JOTTING!F320,"High Sales","Low Sales")</f>
        <v>High Sales</v>
      </c>
    </row>
    <row r="308" spans="2:16" ht="15" x14ac:dyDescent="0.25">
      <c r="B308" s="2" t="s">
        <v>354</v>
      </c>
      <c r="C308" s="2" t="s">
        <v>754</v>
      </c>
      <c r="D308" s="7">
        <v>2023</v>
      </c>
      <c r="E308" s="7" t="s">
        <v>759</v>
      </c>
      <c r="F308" s="3">
        <v>45260</v>
      </c>
      <c r="G308" s="4">
        <v>890</v>
      </c>
      <c r="H308" s="4">
        <v>1</v>
      </c>
      <c r="I308" s="4" t="str">
        <f t="shared" si="4"/>
        <v>Early</v>
      </c>
      <c r="J308" s="2" t="s">
        <v>18</v>
      </c>
      <c r="K308" s="2" t="s">
        <v>39</v>
      </c>
      <c r="L308" s="4">
        <v>4</v>
      </c>
      <c r="M308" s="4">
        <v>403.79</v>
      </c>
      <c r="N308" s="4">
        <v>1615.16</v>
      </c>
      <c r="O308" s="2" t="s">
        <v>26</v>
      </c>
      <c r="P308" t="str">
        <f>IF('Cleaned Data'!N308&gt;JOTTING!F321,"High Sales","Low Sales")</f>
        <v>High Sales</v>
      </c>
    </row>
    <row r="309" spans="2:16" ht="15" x14ac:dyDescent="0.25">
      <c r="B309" s="2" t="s">
        <v>355</v>
      </c>
      <c r="C309" s="2" t="s">
        <v>753</v>
      </c>
      <c r="D309" s="7">
        <v>2023</v>
      </c>
      <c r="E309" s="7" t="s">
        <v>768</v>
      </c>
      <c r="F309" s="3">
        <v>45158</v>
      </c>
      <c r="G309" s="4">
        <v>700</v>
      </c>
      <c r="H309" s="4">
        <v>3</v>
      </c>
      <c r="I309" s="4" t="str">
        <f t="shared" si="4"/>
        <v>Standard</v>
      </c>
      <c r="J309" s="2" t="s">
        <v>63</v>
      </c>
      <c r="K309" s="2" t="s">
        <v>39</v>
      </c>
      <c r="L309" s="4">
        <v>2</v>
      </c>
      <c r="M309" s="4">
        <v>380.5</v>
      </c>
      <c r="N309" s="4">
        <v>761</v>
      </c>
      <c r="O309" s="2" t="s">
        <v>20</v>
      </c>
      <c r="P309" t="str">
        <f>IF('Cleaned Data'!N309&gt;JOTTING!F322,"High Sales","Low Sales")</f>
        <v>High Sales</v>
      </c>
    </row>
    <row r="310" spans="2:16" ht="15" x14ac:dyDescent="0.25">
      <c r="B310" s="2" t="s">
        <v>356</v>
      </c>
      <c r="C310" s="2" t="s">
        <v>756</v>
      </c>
      <c r="D310" s="7">
        <v>2023</v>
      </c>
      <c r="E310" s="7" t="s">
        <v>760</v>
      </c>
      <c r="F310" s="3">
        <v>45051</v>
      </c>
      <c r="G310" s="4">
        <v>478</v>
      </c>
      <c r="H310" s="4">
        <v>2</v>
      </c>
      <c r="I310" s="4" t="str">
        <f t="shared" si="4"/>
        <v>Early</v>
      </c>
      <c r="J310" s="2" t="s">
        <v>42</v>
      </c>
      <c r="K310" s="2" t="s">
        <v>39</v>
      </c>
      <c r="L310" s="4">
        <v>3</v>
      </c>
      <c r="M310" s="4">
        <v>222.96</v>
      </c>
      <c r="N310" s="4">
        <v>668.88</v>
      </c>
      <c r="O310" s="2" t="s">
        <v>20</v>
      </c>
      <c r="P310" t="str">
        <f>IF('Cleaned Data'!N310&gt;JOTTING!F323,"High Sales","Low Sales")</f>
        <v>High Sales</v>
      </c>
    </row>
    <row r="311" spans="2:16" ht="15" x14ac:dyDescent="0.25">
      <c r="B311" s="2" t="s">
        <v>357</v>
      </c>
      <c r="C311" s="2" t="s">
        <v>757</v>
      </c>
      <c r="D311" s="7">
        <v>2023</v>
      </c>
      <c r="E311" s="7" t="s">
        <v>770</v>
      </c>
      <c r="F311" s="3">
        <v>45229</v>
      </c>
      <c r="G311" s="4">
        <v>277</v>
      </c>
      <c r="H311" s="4">
        <v>1</v>
      </c>
      <c r="I311" s="4" t="str">
        <f t="shared" si="4"/>
        <v>Early</v>
      </c>
      <c r="J311" s="2" t="s">
        <v>24</v>
      </c>
      <c r="K311" s="2" t="s">
        <v>49</v>
      </c>
      <c r="L311" s="4">
        <v>3</v>
      </c>
      <c r="M311" s="4">
        <v>61.34</v>
      </c>
      <c r="N311" s="4">
        <v>184.02</v>
      </c>
      <c r="O311" s="2" t="s">
        <v>31</v>
      </c>
      <c r="P311" t="str">
        <f>IF('Cleaned Data'!N311&gt;JOTTING!F324,"High Sales","Low Sales")</f>
        <v>High Sales</v>
      </c>
    </row>
    <row r="312" spans="2:16" ht="15" x14ac:dyDescent="0.25">
      <c r="B312" s="2" t="s">
        <v>358</v>
      </c>
      <c r="C312" s="2" t="s">
        <v>755</v>
      </c>
      <c r="D312" s="7">
        <v>2023</v>
      </c>
      <c r="E312" s="7" t="s">
        <v>760</v>
      </c>
      <c r="F312" s="3">
        <v>45066</v>
      </c>
      <c r="G312" s="4">
        <v>526</v>
      </c>
      <c r="H312" s="4">
        <v>7</v>
      </c>
      <c r="I312" s="4" t="str">
        <f t="shared" si="4"/>
        <v>Slow</v>
      </c>
      <c r="J312" s="2" t="s">
        <v>30</v>
      </c>
      <c r="K312" s="2" t="s">
        <v>39</v>
      </c>
      <c r="L312" s="4">
        <v>4</v>
      </c>
      <c r="M312" s="4">
        <v>427.55</v>
      </c>
      <c r="N312" s="4">
        <v>1710.2</v>
      </c>
      <c r="O312" s="2" t="s">
        <v>31</v>
      </c>
      <c r="P312" t="str">
        <f>IF('Cleaned Data'!N312&gt;JOTTING!F325,"High Sales","Low Sales")</f>
        <v>High Sales</v>
      </c>
    </row>
    <row r="313" spans="2:16" ht="15" x14ac:dyDescent="0.25">
      <c r="B313" s="2" t="s">
        <v>359</v>
      </c>
      <c r="C313" s="2" t="s">
        <v>757</v>
      </c>
      <c r="D313" s="7">
        <v>2023</v>
      </c>
      <c r="E313" s="7" t="s">
        <v>761</v>
      </c>
      <c r="F313" s="3">
        <v>44944</v>
      </c>
      <c r="G313" s="4">
        <v>808</v>
      </c>
      <c r="H313" s="4">
        <v>5</v>
      </c>
      <c r="I313" s="4" t="str">
        <f t="shared" si="4"/>
        <v>Standard</v>
      </c>
      <c r="J313" s="2" t="s">
        <v>51</v>
      </c>
      <c r="K313" s="2" t="s">
        <v>25</v>
      </c>
      <c r="L313" s="4">
        <v>3</v>
      </c>
      <c r="M313" s="4">
        <v>55.14</v>
      </c>
      <c r="N313" s="4">
        <v>165.42</v>
      </c>
      <c r="O313" s="2" t="s">
        <v>26</v>
      </c>
      <c r="P313" t="str">
        <f>IF('Cleaned Data'!N313&gt;JOTTING!F326,"High Sales","Low Sales")</f>
        <v>High Sales</v>
      </c>
    </row>
    <row r="314" spans="2:16" ht="15" x14ac:dyDescent="0.25">
      <c r="B314" s="2" t="s">
        <v>360</v>
      </c>
      <c r="C314" s="2" t="s">
        <v>755</v>
      </c>
      <c r="D314" s="7">
        <v>2023</v>
      </c>
      <c r="E314" s="7" t="s">
        <v>759</v>
      </c>
      <c r="F314" s="3">
        <v>45231</v>
      </c>
      <c r="G314" s="4">
        <v>406</v>
      </c>
      <c r="H314" s="4">
        <v>1</v>
      </c>
      <c r="I314" s="4" t="str">
        <f t="shared" si="4"/>
        <v>Early</v>
      </c>
      <c r="J314" s="2" t="s">
        <v>51</v>
      </c>
      <c r="K314" s="2" t="s">
        <v>25</v>
      </c>
      <c r="L314" s="4">
        <v>1</v>
      </c>
      <c r="M314" s="4">
        <v>366.66</v>
      </c>
      <c r="N314" s="4">
        <v>366.66</v>
      </c>
      <c r="O314" s="2" t="s">
        <v>20</v>
      </c>
      <c r="P314" t="str">
        <f>IF('Cleaned Data'!N314&gt;JOTTING!F327,"High Sales","Low Sales")</f>
        <v>High Sales</v>
      </c>
    </row>
    <row r="315" spans="2:16" ht="15" x14ac:dyDescent="0.25">
      <c r="B315" s="2" t="s">
        <v>361</v>
      </c>
      <c r="C315" s="2" t="s">
        <v>754</v>
      </c>
      <c r="D315" s="7">
        <v>2023</v>
      </c>
      <c r="E315" s="7" t="s">
        <v>760</v>
      </c>
      <c r="F315" s="3">
        <v>45058</v>
      </c>
      <c r="G315" s="4">
        <v>878</v>
      </c>
      <c r="H315" s="4">
        <v>6</v>
      </c>
      <c r="I315" s="4" t="str">
        <f t="shared" si="4"/>
        <v>Standard</v>
      </c>
      <c r="J315" s="2" t="s">
        <v>42</v>
      </c>
      <c r="K315" s="2" t="s">
        <v>57</v>
      </c>
      <c r="L315" s="4">
        <v>2</v>
      </c>
      <c r="M315" s="4">
        <v>486.62</v>
      </c>
      <c r="N315" s="4">
        <v>973.24</v>
      </c>
      <c r="O315" s="2" t="s">
        <v>26</v>
      </c>
      <c r="P315" t="str">
        <f>IF('Cleaned Data'!N315&gt;JOTTING!F328,"High Sales","Low Sales")</f>
        <v>High Sales</v>
      </c>
    </row>
    <row r="316" spans="2:16" ht="15" x14ac:dyDescent="0.25">
      <c r="B316" s="2" t="s">
        <v>362</v>
      </c>
      <c r="C316" s="2" t="s">
        <v>755</v>
      </c>
      <c r="D316" s="7">
        <v>2023</v>
      </c>
      <c r="E316" s="7" t="s">
        <v>770</v>
      </c>
      <c r="F316" s="3">
        <v>45214</v>
      </c>
      <c r="G316" s="4">
        <v>603</v>
      </c>
      <c r="H316" s="4">
        <v>5</v>
      </c>
      <c r="I316" s="4" t="str">
        <f t="shared" si="4"/>
        <v>Standard</v>
      </c>
      <c r="J316" s="2" t="s">
        <v>63</v>
      </c>
      <c r="K316" s="2" t="s">
        <v>57</v>
      </c>
      <c r="L316" s="4">
        <v>3</v>
      </c>
      <c r="M316" s="4">
        <v>246.95</v>
      </c>
      <c r="N316" s="4">
        <v>740.85</v>
      </c>
      <c r="O316" s="2" t="s">
        <v>26</v>
      </c>
      <c r="P316" t="str">
        <f>IF('Cleaned Data'!N316&gt;JOTTING!F329,"High Sales","Low Sales")</f>
        <v>High Sales</v>
      </c>
    </row>
    <row r="317" spans="2:16" ht="15" x14ac:dyDescent="0.25">
      <c r="B317" s="2" t="s">
        <v>363</v>
      </c>
      <c r="C317" s="2" t="s">
        <v>753</v>
      </c>
      <c r="D317" s="7">
        <v>2023</v>
      </c>
      <c r="E317" s="7" t="s">
        <v>760</v>
      </c>
      <c r="F317" s="3">
        <v>45062</v>
      </c>
      <c r="G317" s="4">
        <v>367</v>
      </c>
      <c r="H317" s="4">
        <v>3</v>
      </c>
      <c r="I317" s="4" t="str">
        <f t="shared" si="4"/>
        <v>Standard</v>
      </c>
      <c r="J317" s="2" t="s">
        <v>55</v>
      </c>
      <c r="K317" s="2" t="s">
        <v>57</v>
      </c>
      <c r="L317" s="4">
        <v>2</v>
      </c>
      <c r="M317" s="4">
        <v>155.74</v>
      </c>
      <c r="N317" s="4">
        <v>311.48</v>
      </c>
      <c r="O317" s="2" t="s">
        <v>20</v>
      </c>
      <c r="P317" t="str">
        <f>IF('Cleaned Data'!N317&gt;JOTTING!F330,"High Sales","Low Sales")</f>
        <v>High Sales</v>
      </c>
    </row>
    <row r="318" spans="2:16" ht="15" x14ac:dyDescent="0.25">
      <c r="B318" s="2" t="s">
        <v>364</v>
      </c>
      <c r="C318" s="2" t="s">
        <v>754</v>
      </c>
      <c r="D318" s="7">
        <v>2023</v>
      </c>
      <c r="E318" s="7" t="s">
        <v>759</v>
      </c>
      <c r="F318" s="3">
        <v>45248</v>
      </c>
      <c r="G318" s="4">
        <v>685</v>
      </c>
      <c r="H318" s="4">
        <v>7</v>
      </c>
      <c r="I318" s="4" t="str">
        <f t="shared" si="4"/>
        <v>Slow</v>
      </c>
      <c r="J318" s="2" t="s">
        <v>30</v>
      </c>
      <c r="K318" s="2" t="s">
        <v>39</v>
      </c>
      <c r="L318" s="4">
        <v>1</v>
      </c>
      <c r="M318" s="4">
        <v>367.19</v>
      </c>
      <c r="N318" s="4">
        <v>367.19</v>
      </c>
      <c r="O318" s="2" t="s">
        <v>26</v>
      </c>
      <c r="P318" t="str">
        <f>IF('Cleaned Data'!N318&gt;JOTTING!F331,"High Sales","Low Sales")</f>
        <v>High Sales</v>
      </c>
    </row>
    <row r="319" spans="2:16" ht="15" x14ac:dyDescent="0.25">
      <c r="B319" s="2" t="s">
        <v>365</v>
      </c>
      <c r="C319" s="2" t="s">
        <v>757</v>
      </c>
      <c r="D319" s="7">
        <v>2023</v>
      </c>
      <c r="E319" s="7" t="s">
        <v>767</v>
      </c>
      <c r="F319" s="3">
        <v>45016</v>
      </c>
      <c r="G319" s="4">
        <v>107</v>
      </c>
      <c r="H319" s="4">
        <v>9</v>
      </c>
      <c r="I319" s="4" t="str">
        <f t="shared" si="4"/>
        <v>Slow</v>
      </c>
      <c r="J319" s="2" t="s">
        <v>42</v>
      </c>
      <c r="K319" s="2" t="s">
        <v>49</v>
      </c>
      <c r="L319" s="4">
        <v>3</v>
      </c>
      <c r="M319" s="4">
        <v>417.71</v>
      </c>
      <c r="N319" s="4">
        <v>1253.1300000000001</v>
      </c>
      <c r="O319" s="2" t="s">
        <v>43</v>
      </c>
      <c r="P319" t="str">
        <f>IF('Cleaned Data'!N319&gt;JOTTING!F332,"High Sales","Low Sales")</f>
        <v>High Sales</v>
      </c>
    </row>
    <row r="320" spans="2:16" ht="15" x14ac:dyDescent="0.25">
      <c r="B320" s="2" t="s">
        <v>366</v>
      </c>
      <c r="C320" s="2" t="s">
        <v>753</v>
      </c>
      <c r="D320" s="7">
        <v>2023</v>
      </c>
      <c r="E320" s="7" t="s">
        <v>763</v>
      </c>
      <c r="F320" s="3">
        <v>45291</v>
      </c>
      <c r="G320" s="4">
        <v>607</v>
      </c>
      <c r="H320" s="4">
        <v>9</v>
      </c>
      <c r="I320" s="4" t="str">
        <f t="shared" si="4"/>
        <v>Slow</v>
      </c>
      <c r="J320" s="2" t="s">
        <v>63</v>
      </c>
      <c r="K320" s="2" t="s">
        <v>39</v>
      </c>
      <c r="L320" s="4">
        <v>4</v>
      </c>
      <c r="M320" s="4">
        <v>295.89</v>
      </c>
      <c r="N320" s="4">
        <v>1183.56</v>
      </c>
      <c r="O320" s="2" t="s">
        <v>43</v>
      </c>
      <c r="P320" t="str">
        <f>IF('Cleaned Data'!N320&gt;JOTTING!F333,"High Sales","Low Sales")</f>
        <v>High Sales</v>
      </c>
    </row>
    <row r="321" spans="2:16" ht="15" x14ac:dyDescent="0.25">
      <c r="B321" s="2" t="s">
        <v>367</v>
      </c>
      <c r="C321" s="2" t="s">
        <v>757</v>
      </c>
      <c r="D321" s="7">
        <v>2023</v>
      </c>
      <c r="E321" s="7" t="s">
        <v>770</v>
      </c>
      <c r="F321" s="3">
        <v>45220</v>
      </c>
      <c r="G321" s="4">
        <v>575</v>
      </c>
      <c r="H321" s="4">
        <v>9</v>
      </c>
      <c r="I321" s="4" t="str">
        <f t="shared" si="4"/>
        <v>Slow</v>
      </c>
      <c r="J321" s="2" t="s">
        <v>30</v>
      </c>
      <c r="K321" s="2" t="s">
        <v>19</v>
      </c>
      <c r="L321" s="4">
        <v>2</v>
      </c>
      <c r="M321" s="4">
        <v>485.17</v>
      </c>
      <c r="N321" s="4">
        <v>970.34</v>
      </c>
      <c r="O321" s="2" t="s">
        <v>43</v>
      </c>
      <c r="P321" t="str">
        <f>IF('Cleaned Data'!N321&gt;JOTTING!F334,"High Sales","Low Sales")</f>
        <v>High Sales</v>
      </c>
    </row>
    <row r="322" spans="2:16" ht="15" x14ac:dyDescent="0.25">
      <c r="B322" s="2" t="s">
        <v>368</v>
      </c>
      <c r="C322" s="2" t="s">
        <v>757</v>
      </c>
      <c r="D322" s="7">
        <v>2023</v>
      </c>
      <c r="E322" s="7" t="s">
        <v>764</v>
      </c>
      <c r="F322" s="3">
        <v>44970</v>
      </c>
      <c r="G322" s="4">
        <v>396</v>
      </c>
      <c r="H322" s="4">
        <v>2</v>
      </c>
      <c r="I322" s="4" t="str">
        <f t="shared" si="4"/>
        <v>Early</v>
      </c>
      <c r="J322" s="2" t="s">
        <v>24</v>
      </c>
      <c r="K322" s="2" t="s">
        <v>19</v>
      </c>
      <c r="L322" s="4">
        <v>1</v>
      </c>
      <c r="M322" s="4">
        <v>73.25</v>
      </c>
      <c r="N322" s="4">
        <v>73.25</v>
      </c>
      <c r="O322" s="2" t="s">
        <v>43</v>
      </c>
      <c r="P322" t="str">
        <f>IF('Cleaned Data'!N322&gt;JOTTING!F335,"High Sales","Low Sales")</f>
        <v>High Sales</v>
      </c>
    </row>
    <row r="323" spans="2:16" ht="15" x14ac:dyDescent="0.25">
      <c r="B323" s="2" t="s">
        <v>369</v>
      </c>
      <c r="C323" s="2" t="s">
        <v>753</v>
      </c>
      <c r="D323" s="7">
        <v>2023</v>
      </c>
      <c r="E323" s="7" t="s">
        <v>762</v>
      </c>
      <c r="F323" s="3">
        <v>45136</v>
      </c>
      <c r="G323" s="4">
        <v>263</v>
      </c>
      <c r="H323" s="4">
        <v>3</v>
      </c>
      <c r="I323" s="4" t="str">
        <f t="shared" ref="I323:I386" si="5">_xlfn.IFS(H323&lt;3,"Early",H323&lt;=6,"Standard",H323&lt;=9,"Slow")</f>
        <v>Standard</v>
      </c>
      <c r="J323" s="2" t="s">
        <v>30</v>
      </c>
      <c r="K323" s="2" t="s">
        <v>39</v>
      </c>
      <c r="L323" s="4">
        <v>2</v>
      </c>
      <c r="M323" s="4">
        <v>277.16000000000003</v>
      </c>
      <c r="N323" s="4">
        <v>554.32000000000005</v>
      </c>
      <c r="O323" s="2" t="s">
        <v>20</v>
      </c>
      <c r="P323" t="str">
        <f>IF('Cleaned Data'!N323&gt;JOTTING!F336,"High Sales","Low Sales")</f>
        <v>High Sales</v>
      </c>
    </row>
    <row r="324" spans="2:16" ht="15" x14ac:dyDescent="0.25">
      <c r="B324" s="2" t="s">
        <v>370</v>
      </c>
      <c r="C324" s="2" t="s">
        <v>757</v>
      </c>
      <c r="D324" s="7">
        <v>2024</v>
      </c>
      <c r="E324" s="7" t="s">
        <v>761</v>
      </c>
      <c r="F324" s="3">
        <v>45293</v>
      </c>
      <c r="G324" s="4">
        <v>584</v>
      </c>
      <c r="H324" s="4">
        <v>7</v>
      </c>
      <c r="I324" s="4" t="str">
        <f t="shared" si="5"/>
        <v>Slow</v>
      </c>
      <c r="J324" s="2" t="s">
        <v>55</v>
      </c>
      <c r="K324" s="2" t="s">
        <v>25</v>
      </c>
      <c r="L324" s="4">
        <v>3</v>
      </c>
      <c r="M324" s="4">
        <v>373.3</v>
      </c>
      <c r="N324" s="4">
        <v>1119.9000000000001</v>
      </c>
      <c r="O324" s="2" t="s">
        <v>43</v>
      </c>
      <c r="P324" t="str">
        <f>IF('Cleaned Data'!N324&gt;JOTTING!F337,"High Sales","Low Sales")</f>
        <v>High Sales</v>
      </c>
    </row>
    <row r="325" spans="2:16" ht="15" x14ac:dyDescent="0.25">
      <c r="B325" s="2" t="s">
        <v>371</v>
      </c>
      <c r="C325" s="2" t="s">
        <v>756</v>
      </c>
      <c r="D325" s="7">
        <v>2023</v>
      </c>
      <c r="E325" s="7" t="s">
        <v>765</v>
      </c>
      <c r="F325" s="3">
        <v>45103</v>
      </c>
      <c r="G325" s="4">
        <v>696</v>
      </c>
      <c r="H325" s="4">
        <v>5</v>
      </c>
      <c r="I325" s="4" t="str">
        <f t="shared" si="5"/>
        <v>Standard</v>
      </c>
      <c r="J325" s="2" t="s">
        <v>24</v>
      </c>
      <c r="K325" s="2" t="s">
        <v>49</v>
      </c>
      <c r="L325" s="4">
        <v>3</v>
      </c>
      <c r="M325" s="4">
        <v>438.19</v>
      </c>
      <c r="N325" s="4">
        <v>1314.57</v>
      </c>
      <c r="O325" s="2" t="s">
        <v>26</v>
      </c>
      <c r="P325" t="str">
        <f>IF('Cleaned Data'!N325&gt;JOTTING!F338,"High Sales","Low Sales")</f>
        <v>High Sales</v>
      </c>
    </row>
    <row r="326" spans="2:16" ht="15" x14ac:dyDescent="0.25">
      <c r="B326" s="2" t="s">
        <v>372</v>
      </c>
      <c r="C326" s="2" t="s">
        <v>755</v>
      </c>
      <c r="D326" s="7">
        <v>2023</v>
      </c>
      <c r="E326" s="7" t="s">
        <v>767</v>
      </c>
      <c r="F326" s="3">
        <v>44995</v>
      </c>
      <c r="G326" s="4">
        <v>171</v>
      </c>
      <c r="H326" s="4">
        <v>2</v>
      </c>
      <c r="I326" s="4" t="str">
        <f t="shared" si="5"/>
        <v>Early</v>
      </c>
      <c r="J326" s="2" t="s">
        <v>42</v>
      </c>
      <c r="K326" s="2" t="s">
        <v>39</v>
      </c>
      <c r="L326" s="4">
        <v>4</v>
      </c>
      <c r="M326" s="4">
        <v>130.66999999999999</v>
      </c>
      <c r="N326" s="4">
        <v>522.67999999999995</v>
      </c>
      <c r="O326" s="2" t="s">
        <v>31</v>
      </c>
      <c r="P326" t="str">
        <f>IF('Cleaned Data'!N326&gt;JOTTING!F339,"High Sales","Low Sales")</f>
        <v>High Sales</v>
      </c>
    </row>
    <row r="327" spans="2:16" ht="15" x14ac:dyDescent="0.25">
      <c r="B327" s="2" t="s">
        <v>373</v>
      </c>
      <c r="C327" s="2" t="s">
        <v>753</v>
      </c>
      <c r="D327" s="7">
        <v>2023</v>
      </c>
      <c r="E327" s="7" t="s">
        <v>765</v>
      </c>
      <c r="F327" s="3">
        <v>45106</v>
      </c>
      <c r="G327" s="4">
        <v>666</v>
      </c>
      <c r="H327" s="4">
        <v>3</v>
      </c>
      <c r="I327" s="4" t="str">
        <f t="shared" si="5"/>
        <v>Standard</v>
      </c>
      <c r="J327" s="2" t="s">
        <v>18</v>
      </c>
      <c r="K327" s="2" t="s">
        <v>57</v>
      </c>
      <c r="L327" s="4">
        <v>1</v>
      </c>
      <c r="M327" s="4">
        <v>410</v>
      </c>
      <c r="N327" s="4">
        <v>410</v>
      </c>
      <c r="O327" s="2" t="s">
        <v>26</v>
      </c>
      <c r="P327" t="str">
        <f>IF('Cleaned Data'!N327&gt;JOTTING!F340,"High Sales","Low Sales")</f>
        <v>High Sales</v>
      </c>
    </row>
    <row r="328" spans="2:16" ht="15" x14ac:dyDescent="0.25">
      <c r="B328" s="2" t="s">
        <v>374</v>
      </c>
      <c r="C328" s="2" t="s">
        <v>757</v>
      </c>
      <c r="D328" s="7">
        <v>2023</v>
      </c>
      <c r="E328" s="7" t="s">
        <v>762</v>
      </c>
      <c r="F328" s="3">
        <v>45120</v>
      </c>
      <c r="G328" s="4">
        <v>658</v>
      </c>
      <c r="H328" s="4">
        <v>6</v>
      </c>
      <c r="I328" s="4" t="str">
        <f t="shared" si="5"/>
        <v>Standard</v>
      </c>
      <c r="J328" s="2" t="s">
        <v>18</v>
      </c>
      <c r="K328" s="2" t="s">
        <v>25</v>
      </c>
      <c r="L328" s="4">
        <v>1</v>
      </c>
      <c r="M328" s="4">
        <v>298.72000000000003</v>
      </c>
      <c r="N328" s="4">
        <v>298.72000000000003</v>
      </c>
      <c r="O328" s="2" t="s">
        <v>20</v>
      </c>
      <c r="P328" t="str">
        <f>IF('Cleaned Data'!N328&gt;JOTTING!F341,"High Sales","Low Sales")</f>
        <v>High Sales</v>
      </c>
    </row>
    <row r="329" spans="2:16" ht="15" x14ac:dyDescent="0.25">
      <c r="B329" s="2" t="s">
        <v>375</v>
      </c>
      <c r="C329" s="2" t="s">
        <v>757</v>
      </c>
      <c r="D329" s="7">
        <v>2023</v>
      </c>
      <c r="E329" s="7" t="s">
        <v>770</v>
      </c>
      <c r="F329" s="3">
        <v>45204</v>
      </c>
      <c r="G329" s="4">
        <v>337</v>
      </c>
      <c r="H329" s="4">
        <v>7</v>
      </c>
      <c r="I329" s="4" t="str">
        <f t="shared" si="5"/>
        <v>Slow</v>
      </c>
      <c r="J329" s="2" t="s">
        <v>18</v>
      </c>
      <c r="K329" s="2" t="s">
        <v>57</v>
      </c>
      <c r="L329" s="4">
        <v>4</v>
      </c>
      <c r="M329" s="4">
        <v>228.45</v>
      </c>
      <c r="N329" s="4">
        <v>913.8</v>
      </c>
      <c r="O329" s="2" t="s">
        <v>20</v>
      </c>
      <c r="P329" t="str">
        <f>IF('Cleaned Data'!N329&gt;JOTTING!F342,"High Sales","Low Sales")</f>
        <v>High Sales</v>
      </c>
    </row>
    <row r="330" spans="2:16" ht="15" x14ac:dyDescent="0.25">
      <c r="B330" s="2" t="s">
        <v>376</v>
      </c>
      <c r="C330" s="2" t="s">
        <v>756</v>
      </c>
      <c r="D330" s="7">
        <v>2023</v>
      </c>
      <c r="E330" s="7" t="s">
        <v>766</v>
      </c>
      <c r="F330" s="3">
        <v>45191</v>
      </c>
      <c r="G330" s="4">
        <v>203</v>
      </c>
      <c r="H330" s="4">
        <v>9</v>
      </c>
      <c r="I330" s="4" t="str">
        <f t="shared" si="5"/>
        <v>Slow</v>
      </c>
      <c r="J330" s="2" t="s">
        <v>42</v>
      </c>
      <c r="K330" s="2" t="s">
        <v>19</v>
      </c>
      <c r="L330" s="4">
        <v>4</v>
      </c>
      <c r="M330" s="4">
        <v>109.27</v>
      </c>
      <c r="N330" s="4">
        <v>437.08</v>
      </c>
      <c r="O330" s="2" t="s">
        <v>31</v>
      </c>
      <c r="P330" t="str">
        <f>IF('Cleaned Data'!N330&gt;JOTTING!F343,"High Sales","Low Sales")</f>
        <v>High Sales</v>
      </c>
    </row>
    <row r="331" spans="2:16" ht="15" x14ac:dyDescent="0.25">
      <c r="B331" s="2" t="s">
        <v>377</v>
      </c>
      <c r="C331" s="2" t="s">
        <v>754</v>
      </c>
      <c r="D331" s="7">
        <v>2023</v>
      </c>
      <c r="E331" s="7" t="s">
        <v>760</v>
      </c>
      <c r="F331" s="3">
        <v>45074</v>
      </c>
      <c r="G331" s="4">
        <v>309</v>
      </c>
      <c r="H331" s="4">
        <v>1</v>
      </c>
      <c r="I331" s="4" t="str">
        <f t="shared" si="5"/>
        <v>Early</v>
      </c>
      <c r="J331" s="2" t="s">
        <v>63</v>
      </c>
      <c r="K331" s="2" t="s">
        <v>19</v>
      </c>
      <c r="L331" s="4">
        <v>1</v>
      </c>
      <c r="M331" s="4">
        <v>439.38</v>
      </c>
      <c r="N331" s="4">
        <v>439.38</v>
      </c>
      <c r="O331" s="2" t="s">
        <v>31</v>
      </c>
      <c r="P331" t="str">
        <f>IF('Cleaned Data'!N331&gt;JOTTING!F344,"High Sales","Low Sales")</f>
        <v>High Sales</v>
      </c>
    </row>
    <row r="332" spans="2:16" ht="15" x14ac:dyDescent="0.25">
      <c r="B332" s="2" t="s">
        <v>378</v>
      </c>
      <c r="C332" s="2" t="s">
        <v>757</v>
      </c>
      <c r="D332" s="7">
        <v>2023</v>
      </c>
      <c r="E332" s="7" t="s">
        <v>767</v>
      </c>
      <c r="F332" s="3">
        <v>45013</v>
      </c>
      <c r="G332" s="4">
        <v>653</v>
      </c>
      <c r="H332" s="4">
        <v>7</v>
      </c>
      <c r="I332" s="4" t="str">
        <f t="shared" si="5"/>
        <v>Slow</v>
      </c>
      <c r="J332" s="2" t="s">
        <v>55</v>
      </c>
      <c r="K332" s="2" t="s">
        <v>39</v>
      </c>
      <c r="L332" s="4">
        <v>2</v>
      </c>
      <c r="M332" s="4">
        <v>120.77</v>
      </c>
      <c r="N332" s="4">
        <v>241.54</v>
      </c>
      <c r="O332" s="2" t="s">
        <v>20</v>
      </c>
      <c r="P332" t="str">
        <f>IF('Cleaned Data'!N332&gt;JOTTING!F345,"High Sales","Low Sales")</f>
        <v>High Sales</v>
      </c>
    </row>
    <row r="333" spans="2:16" ht="15" x14ac:dyDescent="0.25">
      <c r="B333" s="2" t="s">
        <v>379</v>
      </c>
      <c r="C333" s="2" t="s">
        <v>757</v>
      </c>
      <c r="D333" s="7">
        <v>2023</v>
      </c>
      <c r="E333" s="7" t="s">
        <v>766</v>
      </c>
      <c r="F333" s="3">
        <v>45170</v>
      </c>
      <c r="G333" s="4">
        <v>927</v>
      </c>
      <c r="H333" s="4">
        <v>8</v>
      </c>
      <c r="I333" s="4" t="str">
        <f t="shared" si="5"/>
        <v>Slow</v>
      </c>
      <c r="J333" s="2" t="s">
        <v>42</v>
      </c>
      <c r="K333" s="2" t="s">
        <v>57</v>
      </c>
      <c r="L333" s="4">
        <v>2</v>
      </c>
      <c r="M333" s="4">
        <v>189.4</v>
      </c>
      <c r="N333" s="4">
        <v>378.8</v>
      </c>
      <c r="O333" s="2" t="s">
        <v>26</v>
      </c>
      <c r="P333" t="str">
        <f>IF('Cleaned Data'!N333&gt;JOTTING!F346,"High Sales","Low Sales")</f>
        <v>High Sales</v>
      </c>
    </row>
    <row r="334" spans="2:16" ht="15" x14ac:dyDescent="0.25">
      <c r="B334" s="2" t="s">
        <v>380</v>
      </c>
      <c r="C334" s="2" t="s">
        <v>755</v>
      </c>
      <c r="D334" s="7">
        <v>2023</v>
      </c>
      <c r="E334" s="7" t="s">
        <v>765</v>
      </c>
      <c r="F334" s="3">
        <v>45083</v>
      </c>
      <c r="G334" s="4">
        <v>567</v>
      </c>
      <c r="H334" s="4">
        <v>3</v>
      </c>
      <c r="I334" s="4" t="str">
        <f t="shared" si="5"/>
        <v>Standard</v>
      </c>
      <c r="J334" s="2" t="s">
        <v>55</v>
      </c>
      <c r="K334" s="2" t="s">
        <v>25</v>
      </c>
      <c r="L334" s="4">
        <v>4</v>
      </c>
      <c r="M334" s="4">
        <v>180.52</v>
      </c>
      <c r="N334" s="4">
        <v>722.08</v>
      </c>
      <c r="O334" s="2" t="s">
        <v>43</v>
      </c>
      <c r="P334" t="str">
        <f>IF('Cleaned Data'!N334&gt;JOTTING!F347,"High Sales","Low Sales")</f>
        <v>High Sales</v>
      </c>
    </row>
    <row r="335" spans="2:16" ht="15" x14ac:dyDescent="0.25">
      <c r="B335" s="2" t="s">
        <v>381</v>
      </c>
      <c r="C335" s="2" t="s">
        <v>753</v>
      </c>
      <c r="D335" s="7">
        <v>2023</v>
      </c>
      <c r="E335" s="7" t="s">
        <v>764</v>
      </c>
      <c r="F335" s="3">
        <v>44979</v>
      </c>
      <c r="G335" s="4">
        <v>553</v>
      </c>
      <c r="H335" s="4">
        <v>4</v>
      </c>
      <c r="I335" s="4" t="str">
        <f t="shared" si="5"/>
        <v>Standard</v>
      </c>
      <c r="J335" s="2" t="s">
        <v>51</v>
      </c>
      <c r="K335" s="2" t="s">
        <v>39</v>
      </c>
      <c r="L335" s="4">
        <v>2</v>
      </c>
      <c r="M335" s="4">
        <v>442.14</v>
      </c>
      <c r="N335" s="4">
        <v>884.28</v>
      </c>
      <c r="O335" s="2" t="s">
        <v>26</v>
      </c>
      <c r="P335" t="str">
        <f>IF('Cleaned Data'!N335&gt;JOTTING!F348,"High Sales","Low Sales")</f>
        <v>High Sales</v>
      </c>
    </row>
    <row r="336" spans="2:16" ht="15" x14ac:dyDescent="0.25">
      <c r="B336" s="2" t="s">
        <v>382</v>
      </c>
      <c r="C336" s="2" t="s">
        <v>756</v>
      </c>
      <c r="D336" s="7">
        <v>2023</v>
      </c>
      <c r="E336" s="7" t="s">
        <v>763</v>
      </c>
      <c r="F336" s="3">
        <v>45261</v>
      </c>
      <c r="G336" s="4">
        <v>367</v>
      </c>
      <c r="H336" s="4">
        <v>6</v>
      </c>
      <c r="I336" s="4" t="str">
        <f t="shared" si="5"/>
        <v>Standard</v>
      </c>
      <c r="J336" s="2" t="s">
        <v>42</v>
      </c>
      <c r="K336" s="2" t="s">
        <v>19</v>
      </c>
      <c r="L336" s="4">
        <v>1</v>
      </c>
      <c r="M336" s="4">
        <v>352.72</v>
      </c>
      <c r="N336" s="4">
        <v>352.72</v>
      </c>
      <c r="O336" s="2" t="s">
        <v>43</v>
      </c>
      <c r="P336" t="str">
        <f>IF('Cleaned Data'!N336&gt;JOTTING!F349,"High Sales","Low Sales")</f>
        <v>High Sales</v>
      </c>
    </row>
    <row r="337" spans="2:16" ht="15" x14ac:dyDescent="0.25">
      <c r="B337" s="2" t="s">
        <v>383</v>
      </c>
      <c r="C337" s="2" t="s">
        <v>753</v>
      </c>
      <c r="D337" s="7">
        <v>2023</v>
      </c>
      <c r="E337" s="7" t="s">
        <v>766</v>
      </c>
      <c r="F337" s="3">
        <v>45186</v>
      </c>
      <c r="G337" s="4">
        <v>485</v>
      </c>
      <c r="H337" s="4">
        <v>7</v>
      </c>
      <c r="I337" s="4" t="str">
        <f t="shared" si="5"/>
        <v>Slow</v>
      </c>
      <c r="J337" s="2" t="s">
        <v>63</v>
      </c>
      <c r="K337" s="2" t="s">
        <v>57</v>
      </c>
      <c r="L337" s="4">
        <v>3</v>
      </c>
      <c r="M337" s="4">
        <v>408.51</v>
      </c>
      <c r="N337" s="4">
        <v>1225.53</v>
      </c>
      <c r="O337" s="2" t="s">
        <v>43</v>
      </c>
      <c r="P337" t="str">
        <f>IF('Cleaned Data'!N337&gt;JOTTING!F350,"High Sales","Low Sales")</f>
        <v>High Sales</v>
      </c>
    </row>
    <row r="338" spans="2:16" ht="15" x14ac:dyDescent="0.25">
      <c r="B338" s="2" t="s">
        <v>384</v>
      </c>
      <c r="C338" s="2" t="s">
        <v>757</v>
      </c>
      <c r="D338" s="7">
        <v>2023</v>
      </c>
      <c r="E338" s="7" t="s">
        <v>766</v>
      </c>
      <c r="F338" s="3">
        <v>45180</v>
      </c>
      <c r="G338" s="4">
        <v>874</v>
      </c>
      <c r="H338" s="4">
        <v>4</v>
      </c>
      <c r="I338" s="4" t="str">
        <f t="shared" si="5"/>
        <v>Standard</v>
      </c>
      <c r="J338" s="2" t="s">
        <v>24</v>
      </c>
      <c r="K338" s="2" t="s">
        <v>57</v>
      </c>
      <c r="L338" s="4">
        <v>3</v>
      </c>
      <c r="M338" s="4">
        <v>162.71</v>
      </c>
      <c r="N338" s="4">
        <v>488.13</v>
      </c>
      <c r="O338" s="2" t="s">
        <v>43</v>
      </c>
      <c r="P338" t="str">
        <f>IF('Cleaned Data'!N338&gt;JOTTING!F351,"High Sales","Low Sales")</f>
        <v>High Sales</v>
      </c>
    </row>
    <row r="339" spans="2:16" ht="15" x14ac:dyDescent="0.25">
      <c r="B339" s="2" t="s">
        <v>385</v>
      </c>
      <c r="C339" s="2" t="s">
        <v>753</v>
      </c>
      <c r="D339" s="7">
        <v>2023</v>
      </c>
      <c r="E339" s="7" t="s">
        <v>759</v>
      </c>
      <c r="F339" s="3">
        <v>45235</v>
      </c>
      <c r="G339" s="4">
        <v>947</v>
      </c>
      <c r="H339" s="4">
        <v>8</v>
      </c>
      <c r="I339" s="4" t="str">
        <f t="shared" si="5"/>
        <v>Slow</v>
      </c>
      <c r="J339" s="2" t="s">
        <v>63</v>
      </c>
      <c r="K339" s="2" t="s">
        <v>49</v>
      </c>
      <c r="L339" s="4">
        <v>2</v>
      </c>
      <c r="M339" s="4">
        <v>331.19</v>
      </c>
      <c r="N339" s="4">
        <v>662.38</v>
      </c>
      <c r="O339" s="2" t="s">
        <v>31</v>
      </c>
      <c r="P339" t="str">
        <f>IF('Cleaned Data'!N339&gt;JOTTING!F352,"High Sales","Low Sales")</f>
        <v>High Sales</v>
      </c>
    </row>
    <row r="340" spans="2:16" ht="15" x14ac:dyDescent="0.25">
      <c r="B340" s="2" t="s">
        <v>386</v>
      </c>
      <c r="C340" s="2" t="s">
        <v>753</v>
      </c>
      <c r="D340" s="7">
        <v>2023</v>
      </c>
      <c r="E340" s="7" t="s">
        <v>762</v>
      </c>
      <c r="F340" s="3">
        <v>45125</v>
      </c>
      <c r="G340" s="4">
        <v>486</v>
      </c>
      <c r="H340" s="4">
        <v>5</v>
      </c>
      <c r="I340" s="4" t="str">
        <f t="shared" si="5"/>
        <v>Standard</v>
      </c>
      <c r="J340" s="2" t="s">
        <v>55</v>
      </c>
      <c r="K340" s="2" t="s">
        <v>25</v>
      </c>
      <c r="L340" s="4">
        <v>4</v>
      </c>
      <c r="M340" s="4">
        <v>307.29000000000002</v>
      </c>
      <c r="N340" s="4">
        <v>1229.1600000000001</v>
      </c>
      <c r="O340" s="2" t="s">
        <v>31</v>
      </c>
      <c r="P340" t="str">
        <f>IF('Cleaned Data'!N340&gt;JOTTING!F353,"High Sales","Low Sales")</f>
        <v>High Sales</v>
      </c>
    </row>
    <row r="341" spans="2:16" ht="15" x14ac:dyDescent="0.25">
      <c r="B341" s="2" t="s">
        <v>387</v>
      </c>
      <c r="C341" s="2" t="s">
        <v>756</v>
      </c>
      <c r="D341" s="7">
        <v>2023</v>
      </c>
      <c r="E341" s="7" t="s">
        <v>770</v>
      </c>
      <c r="F341" s="3">
        <v>45225</v>
      </c>
      <c r="G341" s="4">
        <v>976</v>
      </c>
      <c r="H341" s="4">
        <v>1</v>
      </c>
      <c r="I341" s="4" t="str">
        <f t="shared" si="5"/>
        <v>Early</v>
      </c>
      <c r="J341" s="2" t="s">
        <v>18</v>
      </c>
      <c r="K341" s="2" t="s">
        <v>49</v>
      </c>
      <c r="L341" s="4">
        <v>4</v>
      </c>
      <c r="M341" s="4">
        <v>424.77</v>
      </c>
      <c r="N341" s="4">
        <v>1699.08</v>
      </c>
      <c r="O341" s="2" t="s">
        <v>31</v>
      </c>
      <c r="P341" t="str">
        <f>IF('Cleaned Data'!N341&gt;JOTTING!F354,"High Sales","Low Sales")</f>
        <v>High Sales</v>
      </c>
    </row>
    <row r="342" spans="2:16" ht="15" x14ac:dyDescent="0.25">
      <c r="B342" s="2" t="s">
        <v>388</v>
      </c>
      <c r="C342" s="2" t="s">
        <v>754</v>
      </c>
      <c r="D342" s="7">
        <v>2023</v>
      </c>
      <c r="E342" s="7" t="s">
        <v>762</v>
      </c>
      <c r="F342" s="3">
        <v>45112</v>
      </c>
      <c r="G342" s="4">
        <v>358</v>
      </c>
      <c r="H342" s="4">
        <v>4</v>
      </c>
      <c r="I342" s="4" t="str">
        <f t="shared" si="5"/>
        <v>Standard</v>
      </c>
      <c r="J342" s="2" t="s">
        <v>51</v>
      </c>
      <c r="K342" s="2" t="s">
        <v>57</v>
      </c>
      <c r="L342" s="4">
        <v>4</v>
      </c>
      <c r="M342" s="4">
        <v>457.74</v>
      </c>
      <c r="N342" s="4">
        <v>1830.96</v>
      </c>
      <c r="O342" s="2" t="s">
        <v>43</v>
      </c>
      <c r="P342" t="str">
        <f>IF('Cleaned Data'!N342&gt;JOTTING!F355,"High Sales","Low Sales")</f>
        <v>High Sales</v>
      </c>
    </row>
    <row r="343" spans="2:16" ht="15" x14ac:dyDescent="0.25">
      <c r="B343" s="2" t="s">
        <v>389</v>
      </c>
      <c r="C343" s="2" t="s">
        <v>753</v>
      </c>
      <c r="D343" s="7">
        <v>2023</v>
      </c>
      <c r="E343" s="7" t="s">
        <v>761</v>
      </c>
      <c r="F343" s="3">
        <v>44954</v>
      </c>
      <c r="G343" s="4">
        <v>382</v>
      </c>
      <c r="H343" s="4">
        <v>3</v>
      </c>
      <c r="I343" s="4" t="str">
        <f t="shared" si="5"/>
        <v>Standard</v>
      </c>
      <c r="J343" s="2" t="s">
        <v>30</v>
      </c>
      <c r="K343" s="2" t="s">
        <v>49</v>
      </c>
      <c r="L343" s="4">
        <v>4</v>
      </c>
      <c r="M343" s="4">
        <v>55.47</v>
      </c>
      <c r="N343" s="4">
        <v>221.88</v>
      </c>
      <c r="O343" s="2" t="s">
        <v>31</v>
      </c>
      <c r="P343" t="str">
        <f>IF('Cleaned Data'!N343&gt;JOTTING!F356,"High Sales","Low Sales")</f>
        <v>High Sales</v>
      </c>
    </row>
    <row r="344" spans="2:16" ht="15" x14ac:dyDescent="0.25">
      <c r="B344" s="2" t="s">
        <v>390</v>
      </c>
      <c r="C344" s="2" t="s">
        <v>753</v>
      </c>
      <c r="D344" s="7">
        <v>2023</v>
      </c>
      <c r="E344" s="7" t="s">
        <v>765</v>
      </c>
      <c r="F344" s="3">
        <v>45083</v>
      </c>
      <c r="G344" s="4">
        <v>725</v>
      </c>
      <c r="H344" s="4">
        <v>9</v>
      </c>
      <c r="I344" s="4" t="str">
        <f t="shared" si="5"/>
        <v>Slow</v>
      </c>
      <c r="J344" s="2" t="s">
        <v>55</v>
      </c>
      <c r="K344" s="2" t="s">
        <v>25</v>
      </c>
      <c r="L344" s="4">
        <v>4</v>
      </c>
      <c r="M344" s="4">
        <v>353.31</v>
      </c>
      <c r="N344" s="4">
        <v>1413.24</v>
      </c>
      <c r="O344" s="2" t="s">
        <v>31</v>
      </c>
      <c r="P344" t="str">
        <f>IF('Cleaned Data'!N344&gt;JOTTING!F357,"High Sales","Low Sales")</f>
        <v>High Sales</v>
      </c>
    </row>
    <row r="345" spans="2:16" ht="15" x14ac:dyDescent="0.25">
      <c r="B345" s="2" t="s">
        <v>391</v>
      </c>
      <c r="C345" s="2" t="s">
        <v>757</v>
      </c>
      <c r="D345" s="7">
        <v>2023</v>
      </c>
      <c r="E345" s="7" t="s">
        <v>762</v>
      </c>
      <c r="F345" s="3">
        <v>45116</v>
      </c>
      <c r="G345" s="4">
        <v>974</v>
      </c>
      <c r="H345" s="4">
        <v>8</v>
      </c>
      <c r="I345" s="4" t="str">
        <f t="shared" si="5"/>
        <v>Slow</v>
      </c>
      <c r="J345" s="2" t="s">
        <v>63</v>
      </c>
      <c r="K345" s="2" t="s">
        <v>57</v>
      </c>
      <c r="L345" s="4">
        <v>2</v>
      </c>
      <c r="M345" s="4">
        <v>73.33</v>
      </c>
      <c r="N345" s="4">
        <v>146.66</v>
      </c>
      <c r="O345" s="2" t="s">
        <v>43</v>
      </c>
      <c r="P345" t="str">
        <f>IF('Cleaned Data'!N345&gt;JOTTING!F358,"High Sales","Low Sales")</f>
        <v>High Sales</v>
      </c>
    </row>
    <row r="346" spans="2:16" ht="15" x14ac:dyDescent="0.25">
      <c r="B346" s="2" t="s">
        <v>392</v>
      </c>
      <c r="C346" s="2" t="s">
        <v>755</v>
      </c>
      <c r="D346" s="7">
        <v>2023</v>
      </c>
      <c r="E346" s="7" t="s">
        <v>766</v>
      </c>
      <c r="F346" s="3">
        <v>45190</v>
      </c>
      <c r="G346" s="4">
        <v>139</v>
      </c>
      <c r="H346" s="4">
        <v>1</v>
      </c>
      <c r="I346" s="4" t="str">
        <f t="shared" si="5"/>
        <v>Early</v>
      </c>
      <c r="J346" s="2" t="s">
        <v>18</v>
      </c>
      <c r="K346" s="2" t="s">
        <v>57</v>
      </c>
      <c r="L346" s="4">
        <v>3</v>
      </c>
      <c r="M346" s="4">
        <v>296.99</v>
      </c>
      <c r="N346" s="4">
        <v>890.97</v>
      </c>
      <c r="O346" s="2" t="s">
        <v>43</v>
      </c>
      <c r="P346" t="str">
        <f>IF('Cleaned Data'!N346&gt;JOTTING!F359,"High Sales","Low Sales")</f>
        <v>High Sales</v>
      </c>
    </row>
    <row r="347" spans="2:16" ht="15" x14ac:dyDescent="0.25">
      <c r="B347" s="2" t="s">
        <v>393</v>
      </c>
      <c r="C347" s="2" t="s">
        <v>757</v>
      </c>
      <c r="D347" s="7">
        <v>2023</v>
      </c>
      <c r="E347" s="7" t="s">
        <v>764</v>
      </c>
      <c r="F347" s="3">
        <v>44971</v>
      </c>
      <c r="G347" s="4">
        <v>585</v>
      </c>
      <c r="H347" s="4">
        <v>6</v>
      </c>
      <c r="I347" s="4" t="str">
        <f t="shared" si="5"/>
        <v>Standard</v>
      </c>
      <c r="J347" s="2" t="s">
        <v>55</v>
      </c>
      <c r="K347" s="2" t="s">
        <v>57</v>
      </c>
      <c r="L347" s="4">
        <v>3</v>
      </c>
      <c r="M347" s="4">
        <v>179.43</v>
      </c>
      <c r="N347" s="4">
        <v>538.29</v>
      </c>
      <c r="O347" s="2" t="s">
        <v>43</v>
      </c>
      <c r="P347" t="str">
        <f>IF('Cleaned Data'!N347&gt;JOTTING!F360,"High Sales","Low Sales")</f>
        <v>High Sales</v>
      </c>
    </row>
    <row r="348" spans="2:16" ht="15" x14ac:dyDescent="0.25">
      <c r="B348" s="2" t="s">
        <v>394</v>
      </c>
      <c r="C348" s="2" t="s">
        <v>757</v>
      </c>
      <c r="D348" s="7">
        <v>2023</v>
      </c>
      <c r="E348" s="7" t="s">
        <v>767</v>
      </c>
      <c r="F348" s="3">
        <v>44987</v>
      </c>
      <c r="G348" s="4">
        <v>319</v>
      </c>
      <c r="H348" s="4">
        <v>9</v>
      </c>
      <c r="I348" s="4" t="str">
        <f t="shared" si="5"/>
        <v>Slow</v>
      </c>
      <c r="J348" s="2" t="s">
        <v>18</v>
      </c>
      <c r="K348" s="2" t="s">
        <v>19</v>
      </c>
      <c r="L348" s="4">
        <v>2</v>
      </c>
      <c r="M348" s="4">
        <v>188.05</v>
      </c>
      <c r="N348" s="4">
        <v>376.1</v>
      </c>
      <c r="O348" s="2" t="s">
        <v>26</v>
      </c>
      <c r="P348" t="str">
        <f>IF('Cleaned Data'!N348&gt;JOTTING!F361,"High Sales","Low Sales")</f>
        <v>High Sales</v>
      </c>
    </row>
    <row r="349" spans="2:16" ht="15" x14ac:dyDescent="0.25">
      <c r="B349" s="2" t="s">
        <v>395</v>
      </c>
      <c r="C349" s="2" t="s">
        <v>753</v>
      </c>
      <c r="D349" s="7">
        <v>2023</v>
      </c>
      <c r="E349" s="7" t="s">
        <v>769</v>
      </c>
      <c r="F349" s="3">
        <v>45030</v>
      </c>
      <c r="G349" s="4">
        <v>228</v>
      </c>
      <c r="H349" s="4">
        <v>7</v>
      </c>
      <c r="I349" s="4" t="str">
        <f t="shared" si="5"/>
        <v>Slow</v>
      </c>
      <c r="J349" s="2" t="s">
        <v>42</v>
      </c>
      <c r="K349" s="2" t="s">
        <v>19</v>
      </c>
      <c r="L349" s="4">
        <v>4</v>
      </c>
      <c r="M349" s="4">
        <v>208.83</v>
      </c>
      <c r="N349" s="4">
        <v>835.32</v>
      </c>
      <c r="O349" s="2" t="s">
        <v>26</v>
      </c>
      <c r="P349" t="str">
        <f>IF('Cleaned Data'!N349&gt;JOTTING!F362,"High Sales","Low Sales")</f>
        <v>High Sales</v>
      </c>
    </row>
    <row r="350" spans="2:16" ht="15" x14ac:dyDescent="0.25">
      <c r="B350" s="2" t="s">
        <v>396</v>
      </c>
      <c r="C350" s="2" t="s">
        <v>754</v>
      </c>
      <c r="D350" s="7">
        <v>2023</v>
      </c>
      <c r="E350" s="7" t="s">
        <v>769</v>
      </c>
      <c r="F350" s="3">
        <v>45028</v>
      </c>
      <c r="G350" s="4">
        <v>619</v>
      </c>
      <c r="H350" s="4">
        <v>4</v>
      </c>
      <c r="I350" s="4" t="str">
        <f t="shared" si="5"/>
        <v>Standard</v>
      </c>
      <c r="J350" s="2" t="s">
        <v>51</v>
      </c>
      <c r="K350" s="2" t="s">
        <v>25</v>
      </c>
      <c r="L350" s="4">
        <v>2</v>
      </c>
      <c r="M350" s="4">
        <v>329.58</v>
      </c>
      <c r="N350" s="4">
        <v>659.16</v>
      </c>
      <c r="O350" s="2" t="s">
        <v>20</v>
      </c>
      <c r="P350" t="str">
        <f>IF('Cleaned Data'!N350&gt;JOTTING!F363,"High Sales","Low Sales")</f>
        <v>High Sales</v>
      </c>
    </row>
    <row r="351" spans="2:16" ht="15" x14ac:dyDescent="0.25">
      <c r="B351" s="2" t="s">
        <v>397</v>
      </c>
      <c r="C351" s="2" t="s">
        <v>757</v>
      </c>
      <c r="D351" s="7">
        <v>2023</v>
      </c>
      <c r="E351" s="7" t="s">
        <v>766</v>
      </c>
      <c r="F351" s="3">
        <v>45195</v>
      </c>
      <c r="G351" s="4">
        <v>712</v>
      </c>
      <c r="H351" s="4">
        <v>1</v>
      </c>
      <c r="I351" s="4" t="str">
        <f t="shared" si="5"/>
        <v>Early</v>
      </c>
      <c r="J351" s="2" t="s">
        <v>55</v>
      </c>
      <c r="K351" s="2" t="s">
        <v>57</v>
      </c>
      <c r="L351" s="4">
        <v>3</v>
      </c>
      <c r="M351" s="4">
        <v>200.32</v>
      </c>
      <c r="N351" s="4">
        <v>600.96</v>
      </c>
      <c r="O351" s="2" t="s">
        <v>20</v>
      </c>
      <c r="P351" t="str">
        <f>IF('Cleaned Data'!N351&gt;JOTTING!F364,"High Sales","Low Sales")</f>
        <v>High Sales</v>
      </c>
    </row>
    <row r="352" spans="2:16" ht="15" x14ac:dyDescent="0.25">
      <c r="B352" s="2" t="s">
        <v>398</v>
      </c>
      <c r="C352" s="2" t="s">
        <v>755</v>
      </c>
      <c r="D352" s="7">
        <v>2023</v>
      </c>
      <c r="E352" s="7" t="s">
        <v>769</v>
      </c>
      <c r="F352" s="3">
        <v>45020</v>
      </c>
      <c r="G352" s="4">
        <v>991</v>
      </c>
      <c r="H352" s="4">
        <v>2</v>
      </c>
      <c r="I352" s="4" t="str">
        <f t="shared" si="5"/>
        <v>Early</v>
      </c>
      <c r="J352" s="2" t="s">
        <v>55</v>
      </c>
      <c r="K352" s="2" t="s">
        <v>19</v>
      </c>
      <c r="L352" s="4">
        <v>1</v>
      </c>
      <c r="M352" s="4">
        <v>379.71</v>
      </c>
      <c r="N352" s="4">
        <v>379.71</v>
      </c>
      <c r="O352" s="2" t="s">
        <v>20</v>
      </c>
      <c r="P352" t="str">
        <f>IF('Cleaned Data'!N352&gt;JOTTING!F365,"High Sales","Low Sales")</f>
        <v>High Sales</v>
      </c>
    </row>
    <row r="353" spans="2:16" ht="15" x14ac:dyDescent="0.25">
      <c r="B353" s="2" t="s">
        <v>399</v>
      </c>
      <c r="C353" s="2" t="s">
        <v>757</v>
      </c>
      <c r="D353" s="7">
        <v>2023</v>
      </c>
      <c r="E353" s="7" t="s">
        <v>768</v>
      </c>
      <c r="F353" s="3">
        <v>45163</v>
      </c>
      <c r="G353" s="4">
        <v>787</v>
      </c>
      <c r="H353" s="4">
        <v>5</v>
      </c>
      <c r="I353" s="4" t="str">
        <f t="shared" si="5"/>
        <v>Standard</v>
      </c>
      <c r="J353" s="2" t="s">
        <v>42</v>
      </c>
      <c r="K353" s="2" t="s">
        <v>25</v>
      </c>
      <c r="L353" s="4">
        <v>2</v>
      </c>
      <c r="M353" s="4">
        <v>232.04</v>
      </c>
      <c r="N353" s="4">
        <v>464.08</v>
      </c>
      <c r="O353" s="2" t="s">
        <v>31</v>
      </c>
      <c r="P353" t="str">
        <f>IF('Cleaned Data'!N353&gt;JOTTING!F366,"High Sales","Low Sales")</f>
        <v>High Sales</v>
      </c>
    </row>
    <row r="354" spans="2:16" ht="15" x14ac:dyDescent="0.25">
      <c r="B354" s="2" t="s">
        <v>400</v>
      </c>
      <c r="C354" s="2" t="s">
        <v>755</v>
      </c>
      <c r="D354" s="7">
        <v>2023</v>
      </c>
      <c r="E354" s="7" t="s">
        <v>762</v>
      </c>
      <c r="F354" s="3">
        <v>45112</v>
      </c>
      <c r="G354" s="4">
        <v>718</v>
      </c>
      <c r="H354" s="4">
        <v>5</v>
      </c>
      <c r="I354" s="4" t="str">
        <f t="shared" si="5"/>
        <v>Standard</v>
      </c>
      <c r="J354" s="2" t="s">
        <v>51</v>
      </c>
      <c r="K354" s="2" t="s">
        <v>25</v>
      </c>
      <c r="L354" s="4">
        <v>4</v>
      </c>
      <c r="M354" s="4">
        <v>80.760000000000005</v>
      </c>
      <c r="N354" s="4">
        <v>323.04000000000002</v>
      </c>
      <c r="O354" s="2" t="s">
        <v>26</v>
      </c>
      <c r="P354" t="str">
        <f>IF('Cleaned Data'!N354&gt;JOTTING!F367,"High Sales","Low Sales")</f>
        <v>High Sales</v>
      </c>
    </row>
    <row r="355" spans="2:16" ht="15" x14ac:dyDescent="0.25">
      <c r="B355" s="2" t="s">
        <v>401</v>
      </c>
      <c r="C355" s="2" t="s">
        <v>757</v>
      </c>
      <c r="D355" s="7">
        <v>2023</v>
      </c>
      <c r="E355" s="7" t="s">
        <v>768</v>
      </c>
      <c r="F355" s="3">
        <v>45144</v>
      </c>
      <c r="G355" s="4">
        <v>712</v>
      </c>
      <c r="H355" s="4">
        <v>8</v>
      </c>
      <c r="I355" s="4" t="str">
        <f t="shared" si="5"/>
        <v>Slow</v>
      </c>
      <c r="J355" s="2" t="s">
        <v>63</v>
      </c>
      <c r="K355" s="2" t="s">
        <v>19</v>
      </c>
      <c r="L355" s="4">
        <v>3</v>
      </c>
      <c r="M355" s="4">
        <v>402.69</v>
      </c>
      <c r="N355" s="4">
        <v>1208.07</v>
      </c>
      <c r="O355" s="2" t="s">
        <v>26</v>
      </c>
      <c r="P355" t="str">
        <f>IF('Cleaned Data'!N355&gt;JOTTING!F368,"High Sales","Low Sales")</f>
        <v>High Sales</v>
      </c>
    </row>
    <row r="356" spans="2:16" ht="15" x14ac:dyDescent="0.25">
      <c r="B356" s="2" t="s">
        <v>402</v>
      </c>
      <c r="C356" s="2" t="s">
        <v>755</v>
      </c>
      <c r="D356" s="7">
        <v>2023</v>
      </c>
      <c r="E356" s="7" t="s">
        <v>759</v>
      </c>
      <c r="F356" s="3">
        <v>45238</v>
      </c>
      <c r="G356" s="4">
        <v>359</v>
      </c>
      <c r="H356" s="4">
        <v>6</v>
      </c>
      <c r="I356" s="4" t="str">
        <f t="shared" si="5"/>
        <v>Standard</v>
      </c>
      <c r="J356" s="2" t="s">
        <v>51</v>
      </c>
      <c r="K356" s="2" t="s">
        <v>25</v>
      </c>
      <c r="L356" s="4">
        <v>3</v>
      </c>
      <c r="M356" s="4">
        <v>178.59</v>
      </c>
      <c r="N356" s="4">
        <v>535.77</v>
      </c>
      <c r="O356" s="2" t="s">
        <v>43</v>
      </c>
      <c r="P356" t="str">
        <f>IF('Cleaned Data'!N356&gt;JOTTING!F369,"High Sales","Low Sales")</f>
        <v>High Sales</v>
      </c>
    </row>
    <row r="357" spans="2:16" ht="15" x14ac:dyDescent="0.25">
      <c r="B357" s="2" t="s">
        <v>403</v>
      </c>
      <c r="C357" s="2" t="s">
        <v>755</v>
      </c>
      <c r="D357" s="7">
        <v>2023</v>
      </c>
      <c r="E357" s="7" t="s">
        <v>765</v>
      </c>
      <c r="F357" s="3">
        <v>45082</v>
      </c>
      <c r="G357" s="4">
        <v>465</v>
      </c>
      <c r="H357" s="4">
        <v>8</v>
      </c>
      <c r="I357" s="4" t="str">
        <f t="shared" si="5"/>
        <v>Slow</v>
      </c>
      <c r="J357" s="2" t="s">
        <v>24</v>
      </c>
      <c r="K357" s="2" t="s">
        <v>19</v>
      </c>
      <c r="L357" s="4">
        <v>3</v>
      </c>
      <c r="M357" s="4">
        <v>244.75</v>
      </c>
      <c r="N357" s="4">
        <v>734.25</v>
      </c>
      <c r="O357" s="2" t="s">
        <v>31</v>
      </c>
      <c r="P357" t="str">
        <f>IF('Cleaned Data'!N357&gt;JOTTING!F370,"High Sales","Low Sales")</f>
        <v>High Sales</v>
      </c>
    </row>
    <row r="358" spans="2:16" ht="15" x14ac:dyDescent="0.25">
      <c r="B358" s="2" t="s">
        <v>404</v>
      </c>
      <c r="C358" s="2" t="s">
        <v>755</v>
      </c>
      <c r="D358" s="7">
        <v>2023</v>
      </c>
      <c r="E358" s="7" t="s">
        <v>770</v>
      </c>
      <c r="F358" s="3">
        <v>45210</v>
      </c>
      <c r="G358" s="4">
        <v>857</v>
      </c>
      <c r="H358" s="4">
        <v>2</v>
      </c>
      <c r="I358" s="4" t="str">
        <f t="shared" si="5"/>
        <v>Early</v>
      </c>
      <c r="J358" s="2" t="s">
        <v>51</v>
      </c>
      <c r="K358" s="2" t="s">
        <v>49</v>
      </c>
      <c r="L358" s="4">
        <v>3</v>
      </c>
      <c r="M358" s="4">
        <v>358.45</v>
      </c>
      <c r="N358" s="4">
        <v>1075.3499999999999</v>
      </c>
      <c r="O358" s="2" t="s">
        <v>26</v>
      </c>
      <c r="P358" t="str">
        <f>IF('Cleaned Data'!N358&gt;JOTTING!F371,"High Sales","Low Sales")</f>
        <v>High Sales</v>
      </c>
    </row>
    <row r="359" spans="2:16" ht="15" x14ac:dyDescent="0.25">
      <c r="B359" s="2" t="s">
        <v>305</v>
      </c>
      <c r="C359" s="2" t="s">
        <v>757</v>
      </c>
      <c r="D359" s="7">
        <v>2023</v>
      </c>
      <c r="E359" s="7" t="s">
        <v>765</v>
      </c>
      <c r="F359" s="3">
        <v>45084</v>
      </c>
      <c r="G359" s="4">
        <v>886</v>
      </c>
      <c r="H359" s="4">
        <v>3</v>
      </c>
      <c r="I359" s="4" t="str">
        <f t="shared" si="5"/>
        <v>Standard</v>
      </c>
      <c r="J359" s="2" t="s">
        <v>51</v>
      </c>
      <c r="K359" s="2" t="s">
        <v>39</v>
      </c>
      <c r="L359" s="4">
        <v>4</v>
      </c>
      <c r="M359" s="4">
        <v>199.61</v>
      </c>
      <c r="N359" s="4">
        <v>798.44</v>
      </c>
      <c r="O359" s="2" t="s">
        <v>20</v>
      </c>
      <c r="P359" t="str">
        <f>IF('Cleaned Data'!N359&gt;JOTTING!F372,"High Sales","Low Sales")</f>
        <v>High Sales</v>
      </c>
    </row>
    <row r="360" spans="2:16" ht="15" x14ac:dyDescent="0.25">
      <c r="B360" s="2" t="s">
        <v>405</v>
      </c>
      <c r="C360" s="2" t="s">
        <v>755</v>
      </c>
      <c r="D360" s="7">
        <v>2023</v>
      </c>
      <c r="E360" s="7" t="s">
        <v>760</v>
      </c>
      <c r="F360" s="3">
        <v>45062</v>
      </c>
      <c r="G360" s="4">
        <v>643</v>
      </c>
      <c r="H360" s="4">
        <v>6</v>
      </c>
      <c r="I360" s="4" t="str">
        <f t="shared" si="5"/>
        <v>Standard</v>
      </c>
      <c r="J360" s="2" t="s">
        <v>55</v>
      </c>
      <c r="K360" s="2" t="s">
        <v>49</v>
      </c>
      <c r="L360" s="4">
        <v>1</v>
      </c>
      <c r="M360" s="4">
        <v>75.459999999999994</v>
      </c>
      <c r="N360" s="4">
        <v>75.459999999999994</v>
      </c>
      <c r="O360" s="2" t="s">
        <v>31</v>
      </c>
      <c r="P360" t="str">
        <f>IF('Cleaned Data'!N360&gt;JOTTING!F373,"High Sales","Low Sales")</f>
        <v>High Sales</v>
      </c>
    </row>
    <row r="361" spans="2:16" ht="15" x14ac:dyDescent="0.25">
      <c r="B361" s="2" t="s">
        <v>406</v>
      </c>
      <c r="C361" s="2" t="s">
        <v>756</v>
      </c>
      <c r="D361" s="7">
        <v>2023</v>
      </c>
      <c r="E361" s="7" t="s">
        <v>763</v>
      </c>
      <c r="F361" s="3">
        <v>45279</v>
      </c>
      <c r="G361" s="4">
        <v>748</v>
      </c>
      <c r="H361" s="4">
        <v>3</v>
      </c>
      <c r="I361" s="4" t="str">
        <f t="shared" si="5"/>
        <v>Standard</v>
      </c>
      <c r="J361" s="2" t="s">
        <v>55</v>
      </c>
      <c r="K361" s="2" t="s">
        <v>49</v>
      </c>
      <c r="L361" s="4">
        <v>3</v>
      </c>
      <c r="M361" s="4">
        <v>218.26</v>
      </c>
      <c r="N361" s="4">
        <v>654.78</v>
      </c>
      <c r="O361" s="2" t="s">
        <v>43</v>
      </c>
      <c r="P361" t="str">
        <f>IF('Cleaned Data'!N361&gt;JOTTING!F374,"High Sales","Low Sales")</f>
        <v>High Sales</v>
      </c>
    </row>
    <row r="362" spans="2:16" ht="15" x14ac:dyDescent="0.25">
      <c r="B362" s="2" t="s">
        <v>407</v>
      </c>
      <c r="C362" s="2" t="s">
        <v>753</v>
      </c>
      <c r="D362" s="7">
        <v>2023</v>
      </c>
      <c r="E362" s="7" t="s">
        <v>767</v>
      </c>
      <c r="F362" s="3">
        <v>45000</v>
      </c>
      <c r="G362" s="4">
        <v>623</v>
      </c>
      <c r="H362" s="4">
        <v>6</v>
      </c>
      <c r="I362" s="4" t="str">
        <f t="shared" si="5"/>
        <v>Standard</v>
      </c>
      <c r="J362" s="2" t="s">
        <v>51</v>
      </c>
      <c r="K362" s="2" t="s">
        <v>39</v>
      </c>
      <c r="L362" s="4">
        <v>2</v>
      </c>
      <c r="M362" s="4">
        <v>475</v>
      </c>
      <c r="N362" s="4">
        <v>950</v>
      </c>
      <c r="O362" s="2" t="s">
        <v>26</v>
      </c>
      <c r="P362" t="str">
        <f>IF('Cleaned Data'!N362&gt;JOTTING!F375,"High Sales","Low Sales")</f>
        <v>High Sales</v>
      </c>
    </row>
    <row r="363" spans="2:16" ht="15" x14ac:dyDescent="0.25">
      <c r="B363" s="2" t="s">
        <v>408</v>
      </c>
      <c r="C363" s="2" t="s">
        <v>753</v>
      </c>
      <c r="D363" s="7">
        <v>2023</v>
      </c>
      <c r="E363" s="7" t="s">
        <v>764</v>
      </c>
      <c r="F363" s="3">
        <v>44965</v>
      </c>
      <c r="G363" s="4">
        <v>913</v>
      </c>
      <c r="H363" s="4">
        <v>6</v>
      </c>
      <c r="I363" s="4" t="str">
        <f t="shared" si="5"/>
        <v>Standard</v>
      </c>
      <c r="J363" s="2" t="s">
        <v>51</v>
      </c>
      <c r="K363" s="2" t="s">
        <v>39</v>
      </c>
      <c r="L363" s="4">
        <v>1</v>
      </c>
      <c r="M363" s="4">
        <v>338.78</v>
      </c>
      <c r="N363" s="4">
        <v>338.78</v>
      </c>
      <c r="O363" s="2" t="s">
        <v>26</v>
      </c>
      <c r="P363" t="str">
        <f>IF('Cleaned Data'!N363&gt;JOTTING!F376,"High Sales","Low Sales")</f>
        <v>High Sales</v>
      </c>
    </row>
    <row r="364" spans="2:16" ht="15" x14ac:dyDescent="0.25">
      <c r="B364" s="2" t="s">
        <v>409</v>
      </c>
      <c r="C364" s="2" t="s">
        <v>757</v>
      </c>
      <c r="D364" s="7">
        <v>2023</v>
      </c>
      <c r="E364" s="7" t="s">
        <v>770</v>
      </c>
      <c r="F364" s="3">
        <v>45210</v>
      </c>
      <c r="G364" s="4">
        <v>986</v>
      </c>
      <c r="H364" s="4">
        <v>2</v>
      </c>
      <c r="I364" s="4" t="str">
        <f t="shared" si="5"/>
        <v>Early</v>
      </c>
      <c r="J364" s="2" t="s">
        <v>51</v>
      </c>
      <c r="K364" s="2" t="s">
        <v>49</v>
      </c>
      <c r="L364" s="4">
        <v>3</v>
      </c>
      <c r="M364" s="4">
        <v>352.17</v>
      </c>
      <c r="N364" s="4">
        <v>1056.51</v>
      </c>
      <c r="O364" s="2" t="s">
        <v>31</v>
      </c>
      <c r="P364" t="str">
        <f>IF('Cleaned Data'!N364&gt;JOTTING!F377,"High Sales","Low Sales")</f>
        <v>High Sales</v>
      </c>
    </row>
    <row r="365" spans="2:16" ht="15" x14ac:dyDescent="0.25">
      <c r="B365" s="2" t="s">
        <v>410</v>
      </c>
      <c r="C365" s="2" t="s">
        <v>754</v>
      </c>
      <c r="D365" s="7">
        <v>2023</v>
      </c>
      <c r="E365" s="7" t="s">
        <v>764</v>
      </c>
      <c r="F365" s="3">
        <v>44958</v>
      </c>
      <c r="G365" s="4">
        <v>115</v>
      </c>
      <c r="H365" s="4">
        <v>7</v>
      </c>
      <c r="I365" s="4" t="str">
        <f t="shared" si="5"/>
        <v>Slow</v>
      </c>
      <c r="J365" s="2" t="s">
        <v>51</v>
      </c>
      <c r="K365" s="2" t="s">
        <v>49</v>
      </c>
      <c r="L365" s="4">
        <v>1</v>
      </c>
      <c r="M365" s="4">
        <v>334.53</v>
      </c>
      <c r="N365" s="4">
        <v>334.53</v>
      </c>
      <c r="O365" s="2" t="s">
        <v>43</v>
      </c>
      <c r="P365" t="str">
        <f>IF('Cleaned Data'!N365&gt;JOTTING!F378,"High Sales","Low Sales")</f>
        <v>High Sales</v>
      </c>
    </row>
    <row r="366" spans="2:16" ht="15" x14ac:dyDescent="0.25">
      <c r="B366" s="2" t="s">
        <v>411</v>
      </c>
      <c r="C366" s="2" t="s">
        <v>757</v>
      </c>
      <c r="D366" s="7">
        <v>2023</v>
      </c>
      <c r="E366" s="7" t="s">
        <v>759</v>
      </c>
      <c r="F366" s="3">
        <v>45234</v>
      </c>
      <c r="G366" s="4">
        <v>228</v>
      </c>
      <c r="H366" s="4">
        <v>2</v>
      </c>
      <c r="I366" s="4" t="str">
        <f t="shared" si="5"/>
        <v>Early</v>
      </c>
      <c r="J366" s="2" t="s">
        <v>30</v>
      </c>
      <c r="K366" s="2" t="s">
        <v>25</v>
      </c>
      <c r="L366" s="4">
        <v>2</v>
      </c>
      <c r="M366" s="4">
        <v>139.55000000000001</v>
      </c>
      <c r="N366" s="4">
        <v>279.10000000000002</v>
      </c>
      <c r="O366" s="2" t="s">
        <v>43</v>
      </c>
      <c r="P366" t="str">
        <f>IF('Cleaned Data'!N366&gt;JOTTING!F379,"High Sales","Low Sales")</f>
        <v>High Sales</v>
      </c>
    </row>
    <row r="367" spans="2:16" ht="15" x14ac:dyDescent="0.25">
      <c r="B367" s="2" t="s">
        <v>412</v>
      </c>
      <c r="C367" s="2" t="s">
        <v>754</v>
      </c>
      <c r="D367" s="7">
        <v>2023</v>
      </c>
      <c r="E367" s="7" t="s">
        <v>765</v>
      </c>
      <c r="F367" s="3">
        <v>45092</v>
      </c>
      <c r="G367" s="4">
        <v>674</v>
      </c>
      <c r="H367" s="4">
        <v>6</v>
      </c>
      <c r="I367" s="4" t="str">
        <f t="shared" si="5"/>
        <v>Standard</v>
      </c>
      <c r="J367" s="2" t="s">
        <v>18</v>
      </c>
      <c r="K367" s="2" t="s">
        <v>39</v>
      </c>
      <c r="L367" s="4">
        <v>3</v>
      </c>
      <c r="M367" s="4">
        <v>238.25</v>
      </c>
      <c r="N367" s="4">
        <v>714.75</v>
      </c>
      <c r="O367" s="2" t="s">
        <v>43</v>
      </c>
      <c r="P367" t="str">
        <f>IF('Cleaned Data'!N367&gt;JOTTING!F380,"High Sales","Low Sales")</f>
        <v>High Sales</v>
      </c>
    </row>
    <row r="368" spans="2:16" ht="15" x14ac:dyDescent="0.25">
      <c r="B368" s="2" t="s">
        <v>413</v>
      </c>
      <c r="C368" s="2" t="s">
        <v>754</v>
      </c>
      <c r="D368" s="7">
        <v>2023</v>
      </c>
      <c r="E368" s="7" t="s">
        <v>763</v>
      </c>
      <c r="F368" s="3">
        <v>45262</v>
      </c>
      <c r="G368" s="4">
        <v>208</v>
      </c>
      <c r="H368" s="4">
        <v>1</v>
      </c>
      <c r="I368" s="4" t="str">
        <f t="shared" si="5"/>
        <v>Early</v>
      </c>
      <c r="J368" s="2" t="s">
        <v>30</v>
      </c>
      <c r="K368" s="2" t="s">
        <v>25</v>
      </c>
      <c r="L368" s="4">
        <v>2</v>
      </c>
      <c r="M368" s="4">
        <v>387.92</v>
      </c>
      <c r="N368" s="4">
        <v>775.84</v>
      </c>
      <c r="O368" s="2" t="s">
        <v>43</v>
      </c>
      <c r="P368" t="str">
        <f>IF('Cleaned Data'!N368&gt;JOTTING!F381,"High Sales","Low Sales")</f>
        <v>High Sales</v>
      </c>
    </row>
    <row r="369" spans="2:16" ht="15" x14ac:dyDescent="0.25">
      <c r="B369" s="2" t="s">
        <v>414</v>
      </c>
      <c r="C369" s="2" t="s">
        <v>754</v>
      </c>
      <c r="D369" s="7">
        <v>2023</v>
      </c>
      <c r="E369" s="7" t="s">
        <v>766</v>
      </c>
      <c r="F369" s="3">
        <v>45193</v>
      </c>
      <c r="G369" s="4">
        <v>986</v>
      </c>
      <c r="H369" s="4">
        <v>3</v>
      </c>
      <c r="I369" s="4" t="str">
        <f t="shared" si="5"/>
        <v>Standard</v>
      </c>
      <c r="J369" s="2" t="s">
        <v>63</v>
      </c>
      <c r="K369" s="2" t="s">
        <v>39</v>
      </c>
      <c r="L369" s="4">
        <v>4</v>
      </c>
      <c r="M369" s="4">
        <v>95.62</v>
      </c>
      <c r="N369" s="4">
        <v>382.48</v>
      </c>
      <c r="O369" s="2" t="s">
        <v>20</v>
      </c>
      <c r="P369" t="str">
        <f>IF('Cleaned Data'!N369&gt;JOTTING!F382,"High Sales","Low Sales")</f>
        <v>High Sales</v>
      </c>
    </row>
    <row r="370" spans="2:16" ht="15" x14ac:dyDescent="0.25">
      <c r="B370" s="2" t="s">
        <v>415</v>
      </c>
      <c r="C370" s="2" t="s">
        <v>757</v>
      </c>
      <c r="D370" s="7">
        <v>2023</v>
      </c>
      <c r="E370" s="7" t="s">
        <v>768</v>
      </c>
      <c r="F370" s="3">
        <v>45151</v>
      </c>
      <c r="G370" s="4">
        <v>632</v>
      </c>
      <c r="H370" s="4">
        <v>2</v>
      </c>
      <c r="I370" s="4" t="str">
        <f t="shared" si="5"/>
        <v>Early</v>
      </c>
      <c r="J370" s="2" t="s">
        <v>63</v>
      </c>
      <c r="K370" s="2" t="s">
        <v>25</v>
      </c>
      <c r="L370" s="4">
        <v>3</v>
      </c>
      <c r="M370" s="4">
        <v>175.03</v>
      </c>
      <c r="N370" s="4">
        <v>525.09</v>
      </c>
      <c r="O370" s="2" t="s">
        <v>31</v>
      </c>
      <c r="P370" t="str">
        <f>IF('Cleaned Data'!N370&gt;JOTTING!F383,"High Sales","Low Sales")</f>
        <v>High Sales</v>
      </c>
    </row>
    <row r="371" spans="2:16" ht="15" x14ac:dyDescent="0.25">
      <c r="B371" s="2" t="s">
        <v>416</v>
      </c>
      <c r="C371" s="2" t="s">
        <v>754</v>
      </c>
      <c r="D371" s="7">
        <v>2023</v>
      </c>
      <c r="E371" s="7" t="s">
        <v>763</v>
      </c>
      <c r="F371" s="3">
        <v>45280</v>
      </c>
      <c r="G371" s="4">
        <v>769</v>
      </c>
      <c r="H371" s="4">
        <v>7</v>
      </c>
      <c r="I371" s="4" t="str">
        <f t="shared" si="5"/>
        <v>Slow</v>
      </c>
      <c r="J371" s="2" t="s">
        <v>51</v>
      </c>
      <c r="K371" s="2" t="s">
        <v>49</v>
      </c>
      <c r="L371" s="4">
        <v>3</v>
      </c>
      <c r="M371" s="4">
        <v>174.34</v>
      </c>
      <c r="N371" s="4">
        <v>523.02</v>
      </c>
      <c r="O371" s="2" t="s">
        <v>20</v>
      </c>
      <c r="P371" t="str">
        <f>IF('Cleaned Data'!N371&gt;JOTTING!F384,"High Sales","Low Sales")</f>
        <v>High Sales</v>
      </c>
    </row>
    <row r="372" spans="2:16" ht="15" x14ac:dyDescent="0.25">
      <c r="B372" s="2" t="s">
        <v>417</v>
      </c>
      <c r="C372" s="2" t="s">
        <v>753</v>
      </c>
      <c r="D372" s="7">
        <v>2023</v>
      </c>
      <c r="E372" s="7" t="s">
        <v>760</v>
      </c>
      <c r="F372" s="3">
        <v>45075</v>
      </c>
      <c r="G372" s="4">
        <v>368</v>
      </c>
      <c r="H372" s="4">
        <v>4</v>
      </c>
      <c r="I372" s="4" t="str">
        <f t="shared" si="5"/>
        <v>Standard</v>
      </c>
      <c r="J372" s="2" t="s">
        <v>24</v>
      </c>
      <c r="K372" s="2" t="s">
        <v>25</v>
      </c>
      <c r="L372" s="4">
        <v>3</v>
      </c>
      <c r="M372" s="4">
        <v>244.41</v>
      </c>
      <c r="N372" s="4">
        <v>733.23</v>
      </c>
      <c r="O372" s="2" t="s">
        <v>43</v>
      </c>
      <c r="P372" t="str">
        <f>IF('Cleaned Data'!N372&gt;JOTTING!F385,"High Sales","Low Sales")</f>
        <v>High Sales</v>
      </c>
    </row>
    <row r="373" spans="2:16" ht="15" x14ac:dyDescent="0.25">
      <c r="B373" s="2" t="s">
        <v>418</v>
      </c>
      <c r="C373" s="2" t="s">
        <v>756</v>
      </c>
      <c r="D373" s="7">
        <v>2023</v>
      </c>
      <c r="E373" s="7" t="s">
        <v>763</v>
      </c>
      <c r="F373" s="3">
        <v>45283</v>
      </c>
      <c r="G373" s="4">
        <v>261</v>
      </c>
      <c r="H373" s="4">
        <v>8</v>
      </c>
      <c r="I373" s="4" t="str">
        <f t="shared" si="5"/>
        <v>Slow</v>
      </c>
      <c r="J373" s="2" t="s">
        <v>30</v>
      </c>
      <c r="K373" s="2" t="s">
        <v>25</v>
      </c>
      <c r="L373" s="4">
        <v>3</v>
      </c>
      <c r="M373" s="4">
        <v>491.17</v>
      </c>
      <c r="N373" s="4">
        <v>1473.51</v>
      </c>
      <c r="O373" s="2" t="s">
        <v>20</v>
      </c>
      <c r="P373" t="str">
        <f>IF('Cleaned Data'!N373&gt;JOTTING!F386,"High Sales","Low Sales")</f>
        <v>High Sales</v>
      </c>
    </row>
    <row r="374" spans="2:16" ht="15" x14ac:dyDescent="0.25">
      <c r="B374" s="2" t="s">
        <v>419</v>
      </c>
      <c r="C374" s="2" t="s">
        <v>755</v>
      </c>
      <c r="D374" s="7">
        <v>2023</v>
      </c>
      <c r="E374" s="7" t="s">
        <v>764</v>
      </c>
      <c r="F374" s="3">
        <v>44982</v>
      </c>
      <c r="G374" s="4">
        <v>359</v>
      </c>
      <c r="H374" s="4">
        <v>6</v>
      </c>
      <c r="I374" s="4" t="str">
        <f t="shared" si="5"/>
        <v>Standard</v>
      </c>
      <c r="J374" s="2" t="s">
        <v>30</v>
      </c>
      <c r="K374" s="2" t="s">
        <v>57</v>
      </c>
      <c r="L374" s="4">
        <v>4</v>
      </c>
      <c r="M374" s="4">
        <v>80.38</v>
      </c>
      <c r="N374" s="4">
        <v>321.52</v>
      </c>
      <c r="O374" s="2" t="s">
        <v>20</v>
      </c>
      <c r="P374" t="str">
        <f>IF('Cleaned Data'!N374&gt;JOTTING!F387,"High Sales","Low Sales")</f>
        <v>High Sales</v>
      </c>
    </row>
    <row r="375" spans="2:16" ht="15" x14ac:dyDescent="0.25">
      <c r="B375" s="2" t="s">
        <v>420</v>
      </c>
      <c r="C375" s="2" t="s">
        <v>754</v>
      </c>
      <c r="D375" s="7">
        <v>2023</v>
      </c>
      <c r="E375" s="7" t="s">
        <v>765</v>
      </c>
      <c r="F375" s="3">
        <v>45107</v>
      </c>
      <c r="G375" s="4">
        <v>201</v>
      </c>
      <c r="H375" s="4">
        <v>4</v>
      </c>
      <c r="I375" s="4" t="str">
        <f t="shared" si="5"/>
        <v>Standard</v>
      </c>
      <c r="J375" s="2" t="s">
        <v>42</v>
      </c>
      <c r="K375" s="2" t="s">
        <v>25</v>
      </c>
      <c r="L375" s="4">
        <v>3</v>
      </c>
      <c r="M375" s="4">
        <v>283.42</v>
      </c>
      <c r="N375" s="4">
        <v>850.26</v>
      </c>
      <c r="O375" s="2" t="s">
        <v>26</v>
      </c>
      <c r="P375" t="str">
        <f>IF('Cleaned Data'!N375&gt;JOTTING!F388,"High Sales","Low Sales")</f>
        <v>High Sales</v>
      </c>
    </row>
    <row r="376" spans="2:16" ht="15" x14ac:dyDescent="0.25">
      <c r="B376" s="2" t="s">
        <v>421</v>
      </c>
      <c r="C376" s="2" t="s">
        <v>754</v>
      </c>
      <c r="D376" s="7">
        <v>2023</v>
      </c>
      <c r="E376" s="7" t="s">
        <v>769</v>
      </c>
      <c r="F376" s="3">
        <v>45030</v>
      </c>
      <c r="G376" s="4">
        <v>605</v>
      </c>
      <c r="H376" s="4">
        <v>5</v>
      </c>
      <c r="I376" s="4" t="str">
        <f t="shared" si="5"/>
        <v>Standard</v>
      </c>
      <c r="J376" s="2" t="s">
        <v>42</v>
      </c>
      <c r="K376" s="2" t="s">
        <v>57</v>
      </c>
      <c r="L376" s="4">
        <v>1</v>
      </c>
      <c r="M376" s="4">
        <v>130.71</v>
      </c>
      <c r="N376" s="4">
        <v>130.71</v>
      </c>
      <c r="O376" s="2" t="s">
        <v>31</v>
      </c>
      <c r="P376" t="str">
        <f>IF('Cleaned Data'!N376&gt;JOTTING!F389,"High Sales","Low Sales")</f>
        <v>High Sales</v>
      </c>
    </row>
    <row r="377" spans="2:16" ht="15" x14ac:dyDescent="0.25">
      <c r="B377" s="2" t="s">
        <v>422</v>
      </c>
      <c r="C377" s="2" t="s">
        <v>757</v>
      </c>
      <c r="D377" s="7">
        <v>2023</v>
      </c>
      <c r="E377" s="7" t="s">
        <v>762</v>
      </c>
      <c r="F377" s="3">
        <v>45133</v>
      </c>
      <c r="G377" s="4">
        <v>834</v>
      </c>
      <c r="H377" s="4">
        <v>9</v>
      </c>
      <c r="I377" s="4" t="str">
        <f t="shared" si="5"/>
        <v>Slow</v>
      </c>
      <c r="J377" s="2" t="s">
        <v>51</v>
      </c>
      <c r="K377" s="2" t="s">
        <v>57</v>
      </c>
      <c r="L377" s="4">
        <v>3</v>
      </c>
      <c r="M377" s="4">
        <v>486.8</v>
      </c>
      <c r="N377" s="4">
        <v>1460.4</v>
      </c>
      <c r="O377" s="2" t="s">
        <v>43</v>
      </c>
      <c r="P377" t="str">
        <f>IF('Cleaned Data'!N377&gt;JOTTING!F390,"High Sales","Low Sales")</f>
        <v>High Sales</v>
      </c>
    </row>
    <row r="378" spans="2:16" ht="15" x14ac:dyDescent="0.25">
      <c r="B378" s="2" t="s">
        <v>423</v>
      </c>
      <c r="C378" s="2" t="s">
        <v>756</v>
      </c>
      <c r="D378" s="7">
        <v>2023</v>
      </c>
      <c r="E378" s="7" t="s">
        <v>767</v>
      </c>
      <c r="F378" s="3">
        <v>44993</v>
      </c>
      <c r="G378" s="4">
        <v>670</v>
      </c>
      <c r="H378" s="4">
        <v>7</v>
      </c>
      <c r="I378" s="4" t="str">
        <f t="shared" si="5"/>
        <v>Slow</v>
      </c>
      <c r="J378" s="2" t="s">
        <v>51</v>
      </c>
      <c r="K378" s="2" t="s">
        <v>39</v>
      </c>
      <c r="L378" s="4">
        <v>4</v>
      </c>
      <c r="M378" s="4">
        <v>100.99</v>
      </c>
      <c r="N378" s="4">
        <v>403.96</v>
      </c>
      <c r="O378" s="2" t="s">
        <v>26</v>
      </c>
      <c r="P378" t="str">
        <f>IF('Cleaned Data'!N378&gt;JOTTING!F391,"High Sales","Low Sales")</f>
        <v>High Sales</v>
      </c>
    </row>
    <row r="379" spans="2:16" ht="15" x14ac:dyDescent="0.25">
      <c r="B379" s="2" t="s">
        <v>424</v>
      </c>
      <c r="C379" s="2" t="s">
        <v>755</v>
      </c>
      <c r="D379" s="7">
        <v>2023</v>
      </c>
      <c r="E379" s="7" t="s">
        <v>759</v>
      </c>
      <c r="F379" s="3">
        <v>45243</v>
      </c>
      <c r="G379" s="4">
        <v>346</v>
      </c>
      <c r="H379" s="4">
        <v>9</v>
      </c>
      <c r="I379" s="4" t="str">
        <f t="shared" si="5"/>
        <v>Slow</v>
      </c>
      <c r="J379" s="2" t="s">
        <v>24</v>
      </c>
      <c r="K379" s="2" t="s">
        <v>49</v>
      </c>
      <c r="L379" s="4">
        <v>3</v>
      </c>
      <c r="M379" s="4">
        <v>231.62</v>
      </c>
      <c r="N379" s="4">
        <v>694.86</v>
      </c>
      <c r="O379" s="2" t="s">
        <v>20</v>
      </c>
      <c r="P379" t="str">
        <f>IF('Cleaned Data'!N379&gt;JOTTING!F392,"High Sales","Low Sales")</f>
        <v>High Sales</v>
      </c>
    </row>
    <row r="380" spans="2:16" ht="15" x14ac:dyDescent="0.25">
      <c r="B380" s="2" t="s">
        <v>425</v>
      </c>
      <c r="C380" s="2" t="s">
        <v>753</v>
      </c>
      <c r="D380" s="7">
        <v>2023</v>
      </c>
      <c r="E380" s="7" t="s">
        <v>759</v>
      </c>
      <c r="F380" s="3">
        <v>45242</v>
      </c>
      <c r="G380" s="4">
        <v>739</v>
      </c>
      <c r="H380" s="4">
        <v>7</v>
      </c>
      <c r="I380" s="4" t="str">
        <f t="shared" si="5"/>
        <v>Slow</v>
      </c>
      <c r="J380" s="2" t="s">
        <v>63</v>
      </c>
      <c r="K380" s="2" t="s">
        <v>49</v>
      </c>
      <c r="L380" s="4">
        <v>1</v>
      </c>
      <c r="M380" s="4">
        <v>382.05</v>
      </c>
      <c r="N380" s="4">
        <v>382.05</v>
      </c>
      <c r="O380" s="2" t="s">
        <v>26</v>
      </c>
      <c r="P380" t="str">
        <f>IF('Cleaned Data'!N380&gt;JOTTING!F393,"High Sales","Low Sales")</f>
        <v>High Sales</v>
      </c>
    </row>
    <row r="381" spans="2:16" ht="15" x14ac:dyDescent="0.25">
      <c r="B381" s="2" t="s">
        <v>426</v>
      </c>
      <c r="C381" s="2" t="s">
        <v>754</v>
      </c>
      <c r="D381" s="7">
        <v>2023</v>
      </c>
      <c r="E381" s="7" t="s">
        <v>763</v>
      </c>
      <c r="F381" s="3">
        <v>45276</v>
      </c>
      <c r="G381" s="4">
        <v>894</v>
      </c>
      <c r="H381" s="4">
        <v>1</v>
      </c>
      <c r="I381" s="4" t="str">
        <f t="shared" si="5"/>
        <v>Early</v>
      </c>
      <c r="J381" s="2" t="s">
        <v>30</v>
      </c>
      <c r="K381" s="2" t="s">
        <v>39</v>
      </c>
      <c r="L381" s="4">
        <v>4</v>
      </c>
      <c r="M381" s="4">
        <v>367.05</v>
      </c>
      <c r="N381" s="4">
        <v>1468.2</v>
      </c>
      <c r="O381" s="2" t="s">
        <v>20</v>
      </c>
      <c r="P381" t="str">
        <f>IF('Cleaned Data'!N381&gt;JOTTING!F394,"High Sales","Low Sales")</f>
        <v>High Sales</v>
      </c>
    </row>
    <row r="382" spans="2:16" ht="15" x14ac:dyDescent="0.25">
      <c r="B382" s="2" t="s">
        <v>427</v>
      </c>
      <c r="C382" s="2" t="s">
        <v>756</v>
      </c>
      <c r="D382" s="7">
        <v>2023</v>
      </c>
      <c r="E382" s="7" t="s">
        <v>767</v>
      </c>
      <c r="F382" s="3">
        <v>44991</v>
      </c>
      <c r="G382" s="4">
        <v>936</v>
      </c>
      <c r="H382" s="4">
        <v>8</v>
      </c>
      <c r="I382" s="4" t="str">
        <f t="shared" si="5"/>
        <v>Slow</v>
      </c>
      <c r="J382" s="2" t="s">
        <v>24</v>
      </c>
      <c r="K382" s="2" t="s">
        <v>19</v>
      </c>
      <c r="L382" s="4">
        <v>4</v>
      </c>
      <c r="M382" s="4">
        <v>240.23</v>
      </c>
      <c r="N382" s="4">
        <v>960.92</v>
      </c>
      <c r="O382" s="2" t="s">
        <v>31</v>
      </c>
      <c r="P382" t="str">
        <f>IF('Cleaned Data'!N382&gt;JOTTING!F395,"High Sales","Low Sales")</f>
        <v>High Sales</v>
      </c>
    </row>
    <row r="383" spans="2:16" ht="15" x14ac:dyDescent="0.25">
      <c r="B383" s="2" t="s">
        <v>428</v>
      </c>
      <c r="C383" s="2" t="s">
        <v>756</v>
      </c>
      <c r="D383" s="7">
        <v>2023</v>
      </c>
      <c r="E383" s="7" t="s">
        <v>768</v>
      </c>
      <c r="F383" s="3">
        <v>45158</v>
      </c>
      <c r="G383" s="4">
        <v>636</v>
      </c>
      <c r="H383" s="4">
        <v>4</v>
      </c>
      <c r="I383" s="4" t="str">
        <f t="shared" si="5"/>
        <v>Standard</v>
      </c>
      <c r="J383" s="2" t="s">
        <v>63</v>
      </c>
      <c r="K383" s="2" t="s">
        <v>57</v>
      </c>
      <c r="L383" s="4">
        <v>1</v>
      </c>
      <c r="M383" s="4">
        <v>205.94</v>
      </c>
      <c r="N383" s="4">
        <v>205.94</v>
      </c>
      <c r="O383" s="2" t="s">
        <v>20</v>
      </c>
      <c r="P383" t="str">
        <f>IF('Cleaned Data'!N383&gt;JOTTING!F396,"High Sales","Low Sales")</f>
        <v>High Sales</v>
      </c>
    </row>
    <row r="384" spans="2:16" ht="15" x14ac:dyDescent="0.25">
      <c r="B384" s="2" t="s">
        <v>429</v>
      </c>
      <c r="C384" s="2" t="s">
        <v>757</v>
      </c>
      <c r="D384" s="7">
        <v>2023</v>
      </c>
      <c r="E384" s="7" t="s">
        <v>765</v>
      </c>
      <c r="F384" s="3">
        <v>45103</v>
      </c>
      <c r="G384" s="4">
        <v>230</v>
      </c>
      <c r="H384" s="4">
        <v>3</v>
      </c>
      <c r="I384" s="4" t="str">
        <f t="shared" si="5"/>
        <v>Standard</v>
      </c>
      <c r="J384" s="2" t="s">
        <v>24</v>
      </c>
      <c r="K384" s="2" t="s">
        <v>25</v>
      </c>
      <c r="L384" s="4">
        <v>1</v>
      </c>
      <c r="M384" s="4">
        <v>228.93</v>
      </c>
      <c r="N384" s="4">
        <v>228.93</v>
      </c>
      <c r="O384" s="2" t="s">
        <v>26</v>
      </c>
      <c r="P384" t="str">
        <f>IF('Cleaned Data'!N384&gt;JOTTING!F397,"High Sales","Low Sales")</f>
        <v>High Sales</v>
      </c>
    </row>
    <row r="385" spans="2:16" ht="15" x14ac:dyDescent="0.25">
      <c r="B385" s="2" t="s">
        <v>430</v>
      </c>
      <c r="C385" s="2" t="s">
        <v>754</v>
      </c>
      <c r="D385" s="7">
        <v>2023</v>
      </c>
      <c r="E385" s="7" t="s">
        <v>760</v>
      </c>
      <c r="F385" s="3">
        <v>45059</v>
      </c>
      <c r="G385" s="4">
        <v>452</v>
      </c>
      <c r="H385" s="4">
        <v>7</v>
      </c>
      <c r="I385" s="4" t="str">
        <f t="shared" si="5"/>
        <v>Slow</v>
      </c>
      <c r="J385" s="2" t="s">
        <v>30</v>
      </c>
      <c r="K385" s="2" t="s">
        <v>19</v>
      </c>
      <c r="L385" s="4">
        <v>1</v>
      </c>
      <c r="M385" s="4">
        <v>168.92</v>
      </c>
      <c r="N385" s="4">
        <v>168.92</v>
      </c>
      <c r="O385" s="2" t="s">
        <v>43</v>
      </c>
      <c r="P385" t="str">
        <f>IF('Cleaned Data'!N385&gt;JOTTING!F398,"High Sales","Low Sales")</f>
        <v>High Sales</v>
      </c>
    </row>
    <row r="386" spans="2:16" ht="15" x14ac:dyDescent="0.25">
      <c r="B386" s="2" t="s">
        <v>431</v>
      </c>
      <c r="C386" s="2" t="s">
        <v>754</v>
      </c>
      <c r="D386" s="7">
        <v>2023</v>
      </c>
      <c r="E386" s="7" t="s">
        <v>760</v>
      </c>
      <c r="F386" s="3">
        <v>45058</v>
      </c>
      <c r="G386" s="4">
        <v>295</v>
      </c>
      <c r="H386" s="4">
        <v>3</v>
      </c>
      <c r="I386" s="4" t="str">
        <f t="shared" si="5"/>
        <v>Standard</v>
      </c>
      <c r="J386" s="2" t="s">
        <v>42</v>
      </c>
      <c r="K386" s="2" t="s">
        <v>49</v>
      </c>
      <c r="L386" s="4">
        <v>1</v>
      </c>
      <c r="M386" s="4">
        <v>142.4</v>
      </c>
      <c r="N386" s="4">
        <v>142.4</v>
      </c>
      <c r="O386" s="2" t="s">
        <v>43</v>
      </c>
      <c r="P386" t="str">
        <f>IF('Cleaned Data'!N386&gt;JOTTING!F399,"High Sales","Low Sales")</f>
        <v>High Sales</v>
      </c>
    </row>
    <row r="387" spans="2:16" ht="15" x14ac:dyDescent="0.25">
      <c r="B387" s="2" t="s">
        <v>432</v>
      </c>
      <c r="C387" s="2" t="s">
        <v>753</v>
      </c>
      <c r="D387" s="7">
        <v>2023</v>
      </c>
      <c r="E387" s="7" t="s">
        <v>765</v>
      </c>
      <c r="F387" s="3">
        <v>45085</v>
      </c>
      <c r="G387" s="4">
        <v>892</v>
      </c>
      <c r="H387" s="4">
        <v>8</v>
      </c>
      <c r="I387" s="4" t="str">
        <f t="shared" ref="I387:I450" si="6">_xlfn.IFS(H387&lt;3,"Early",H387&lt;=6,"Standard",H387&lt;=9,"Slow")</f>
        <v>Slow</v>
      </c>
      <c r="J387" s="2" t="s">
        <v>18</v>
      </c>
      <c r="K387" s="2" t="s">
        <v>19</v>
      </c>
      <c r="L387" s="4">
        <v>1</v>
      </c>
      <c r="M387" s="4">
        <v>267.37</v>
      </c>
      <c r="N387" s="4">
        <v>267.37</v>
      </c>
      <c r="O387" s="2" t="s">
        <v>26</v>
      </c>
      <c r="P387" t="str">
        <f>IF('Cleaned Data'!N387&gt;JOTTING!F400,"High Sales","Low Sales")</f>
        <v>High Sales</v>
      </c>
    </row>
    <row r="388" spans="2:16" ht="15" x14ac:dyDescent="0.25">
      <c r="B388" s="2" t="s">
        <v>433</v>
      </c>
      <c r="C388" s="2" t="s">
        <v>753</v>
      </c>
      <c r="D388" s="7">
        <v>2023</v>
      </c>
      <c r="E388" s="7" t="s">
        <v>766</v>
      </c>
      <c r="F388" s="3">
        <v>45190</v>
      </c>
      <c r="G388" s="4">
        <v>765</v>
      </c>
      <c r="H388" s="4">
        <v>6</v>
      </c>
      <c r="I388" s="4" t="str">
        <f t="shared" si="6"/>
        <v>Standard</v>
      </c>
      <c r="J388" s="2" t="s">
        <v>18</v>
      </c>
      <c r="K388" s="2" t="s">
        <v>25</v>
      </c>
      <c r="L388" s="4">
        <v>4</v>
      </c>
      <c r="M388" s="4">
        <v>170.84</v>
      </c>
      <c r="N388" s="4">
        <v>683.36</v>
      </c>
      <c r="O388" s="2" t="s">
        <v>26</v>
      </c>
      <c r="P388" t="str">
        <f>IF('Cleaned Data'!N388&gt;JOTTING!F401,"High Sales","Low Sales")</f>
        <v>High Sales</v>
      </c>
    </row>
    <row r="389" spans="2:16" ht="15" x14ac:dyDescent="0.25">
      <c r="B389" s="2" t="s">
        <v>434</v>
      </c>
      <c r="C389" s="2" t="s">
        <v>756</v>
      </c>
      <c r="D389" s="7">
        <v>2023</v>
      </c>
      <c r="E389" s="7" t="s">
        <v>768</v>
      </c>
      <c r="F389" s="3">
        <v>45150</v>
      </c>
      <c r="G389" s="4">
        <v>481</v>
      </c>
      <c r="H389" s="4">
        <v>5</v>
      </c>
      <c r="I389" s="4" t="str">
        <f t="shared" si="6"/>
        <v>Standard</v>
      </c>
      <c r="J389" s="2" t="s">
        <v>30</v>
      </c>
      <c r="K389" s="2" t="s">
        <v>39</v>
      </c>
      <c r="L389" s="4">
        <v>4</v>
      </c>
      <c r="M389" s="4">
        <v>179.36</v>
      </c>
      <c r="N389" s="4">
        <v>717.44</v>
      </c>
      <c r="O389" s="2" t="s">
        <v>20</v>
      </c>
      <c r="P389" t="str">
        <f>IF('Cleaned Data'!N389&gt;JOTTING!F402,"High Sales","Low Sales")</f>
        <v>High Sales</v>
      </c>
    </row>
    <row r="390" spans="2:16" ht="15" x14ac:dyDescent="0.25">
      <c r="B390" s="2" t="s">
        <v>435</v>
      </c>
      <c r="C390" s="2" t="s">
        <v>755</v>
      </c>
      <c r="D390" s="7">
        <v>2023</v>
      </c>
      <c r="E390" s="7" t="s">
        <v>765</v>
      </c>
      <c r="F390" s="3">
        <v>45098</v>
      </c>
      <c r="G390" s="4">
        <v>744</v>
      </c>
      <c r="H390" s="4">
        <v>4</v>
      </c>
      <c r="I390" s="4" t="str">
        <f t="shared" si="6"/>
        <v>Standard</v>
      </c>
      <c r="J390" s="2" t="s">
        <v>51</v>
      </c>
      <c r="K390" s="2" t="s">
        <v>49</v>
      </c>
      <c r="L390" s="4">
        <v>3</v>
      </c>
      <c r="M390" s="4">
        <v>345.54</v>
      </c>
      <c r="N390" s="4">
        <v>1036.6199999999999</v>
      </c>
      <c r="O390" s="2" t="s">
        <v>43</v>
      </c>
      <c r="P390" t="str">
        <f>IF('Cleaned Data'!N390&gt;JOTTING!F403,"High Sales","Low Sales")</f>
        <v>High Sales</v>
      </c>
    </row>
    <row r="391" spans="2:16" ht="15" x14ac:dyDescent="0.25">
      <c r="B391" s="2" t="s">
        <v>436</v>
      </c>
      <c r="C391" s="2" t="s">
        <v>756</v>
      </c>
      <c r="D391" s="7">
        <v>2023</v>
      </c>
      <c r="E391" s="7" t="s">
        <v>764</v>
      </c>
      <c r="F391" s="3">
        <v>44962</v>
      </c>
      <c r="G391" s="4">
        <v>326</v>
      </c>
      <c r="H391" s="4">
        <v>8</v>
      </c>
      <c r="I391" s="4" t="str">
        <f t="shared" si="6"/>
        <v>Slow</v>
      </c>
      <c r="J391" s="2" t="s">
        <v>63</v>
      </c>
      <c r="K391" s="2" t="s">
        <v>39</v>
      </c>
      <c r="L391" s="4">
        <v>3</v>
      </c>
      <c r="M391" s="4">
        <v>485.84</v>
      </c>
      <c r="N391" s="4">
        <v>1457.52</v>
      </c>
      <c r="O391" s="2" t="s">
        <v>26</v>
      </c>
      <c r="P391" t="str">
        <f>IF('Cleaned Data'!N391&gt;JOTTING!F404,"High Sales","Low Sales")</f>
        <v>High Sales</v>
      </c>
    </row>
    <row r="392" spans="2:16" ht="15" x14ac:dyDescent="0.25">
      <c r="B392" s="2" t="s">
        <v>437</v>
      </c>
      <c r="C392" s="2" t="s">
        <v>756</v>
      </c>
      <c r="D392" s="7">
        <v>2023</v>
      </c>
      <c r="E392" s="7" t="s">
        <v>764</v>
      </c>
      <c r="F392" s="3">
        <v>44963</v>
      </c>
      <c r="G392" s="4">
        <v>800</v>
      </c>
      <c r="H392" s="4">
        <v>8</v>
      </c>
      <c r="I392" s="4" t="str">
        <f t="shared" si="6"/>
        <v>Slow</v>
      </c>
      <c r="J392" s="2" t="s">
        <v>24</v>
      </c>
      <c r="K392" s="2" t="s">
        <v>39</v>
      </c>
      <c r="L392" s="4">
        <v>2</v>
      </c>
      <c r="M392" s="4">
        <v>321.64</v>
      </c>
      <c r="N392" s="4">
        <v>643.28</v>
      </c>
      <c r="O392" s="2" t="s">
        <v>20</v>
      </c>
      <c r="P392" t="str">
        <f>IF('Cleaned Data'!N392&gt;JOTTING!F405,"High Sales","Low Sales")</f>
        <v>High Sales</v>
      </c>
    </row>
    <row r="393" spans="2:16" ht="15" x14ac:dyDescent="0.25">
      <c r="B393" s="2" t="s">
        <v>438</v>
      </c>
      <c r="C393" s="2" t="s">
        <v>757</v>
      </c>
      <c r="D393" s="7">
        <v>2023</v>
      </c>
      <c r="E393" s="7" t="s">
        <v>761</v>
      </c>
      <c r="F393" s="3">
        <v>44928</v>
      </c>
      <c r="G393" s="4">
        <v>575</v>
      </c>
      <c r="H393" s="4">
        <v>1</v>
      </c>
      <c r="I393" s="4" t="str">
        <f t="shared" si="6"/>
        <v>Early</v>
      </c>
      <c r="J393" s="2" t="s">
        <v>24</v>
      </c>
      <c r="K393" s="2" t="s">
        <v>39</v>
      </c>
      <c r="L393" s="4">
        <v>3</v>
      </c>
      <c r="M393" s="4">
        <v>84.64</v>
      </c>
      <c r="N393" s="4">
        <v>253.92</v>
      </c>
      <c r="O393" s="2" t="s">
        <v>26</v>
      </c>
      <c r="P393" t="str">
        <f>IF('Cleaned Data'!N393&gt;JOTTING!F406,"High Sales","Low Sales")</f>
        <v>High Sales</v>
      </c>
    </row>
    <row r="394" spans="2:16" ht="15" x14ac:dyDescent="0.25">
      <c r="B394" s="2" t="s">
        <v>439</v>
      </c>
      <c r="C394" s="2" t="s">
        <v>754</v>
      </c>
      <c r="D394" s="7">
        <v>2023</v>
      </c>
      <c r="E394" s="7" t="s">
        <v>763</v>
      </c>
      <c r="F394" s="3">
        <v>45289</v>
      </c>
      <c r="G394" s="4">
        <v>576</v>
      </c>
      <c r="H394" s="4">
        <v>9</v>
      </c>
      <c r="I394" s="4" t="str">
        <f t="shared" si="6"/>
        <v>Slow</v>
      </c>
      <c r="J394" s="2" t="s">
        <v>42</v>
      </c>
      <c r="K394" s="2" t="s">
        <v>49</v>
      </c>
      <c r="L394" s="4">
        <v>3</v>
      </c>
      <c r="M394" s="4">
        <v>84.01</v>
      </c>
      <c r="N394" s="4">
        <v>252.03</v>
      </c>
      <c r="O394" s="2" t="s">
        <v>43</v>
      </c>
      <c r="P394" t="str">
        <f>IF('Cleaned Data'!N394&gt;JOTTING!F407,"High Sales","Low Sales")</f>
        <v>High Sales</v>
      </c>
    </row>
    <row r="395" spans="2:16" ht="15" x14ac:dyDescent="0.25">
      <c r="B395" s="2" t="s">
        <v>440</v>
      </c>
      <c r="C395" s="2" t="s">
        <v>753</v>
      </c>
      <c r="D395" s="7">
        <v>2023</v>
      </c>
      <c r="E395" s="7" t="s">
        <v>761</v>
      </c>
      <c r="F395" s="3">
        <v>44933</v>
      </c>
      <c r="G395" s="4">
        <v>364</v>
      </c>
      <c r="H395" s="4">
        <v>5</v>
      </c>
      <c r="I395" s="4" t="str">
        <f t="shared" si="6"/>
        <v>Standard</v>
      </c>
      <c r="J395" s="2" t="s">
        <v>30</v>
      </c>
      <c r="K395" s="2" t="s">
        <v>25</v>
      </c>
      <c r="L395" s="4">
        <v>1</v>
      </c>
      <c r="M395" s="4">
        <v>478.14</v>
      </c>
      <c r="N395" s="4">
        <v>478.14</v>
      </c>
      <c r="O395" s="2" t="s">
        <v>20</v>
      </c>
      <c r="P395" t="str">
        <f>IF('Cleaned Data'!N395&gt;JOTTING!F408,"High Sales","Low Sales")</f>
        <v>High Sales</v>
      </c>
    </row>
    <row r="396" spans="2:16" ht="15" x14ac:dyDescent="0.25">
      <c r="B396" s="2" t="s">
        <v>441</v>
      </c>
      <c r="C396" s="2" t="s">
        <v>756</v>
      </c>
      <c r="D396" s="7">
        <v>2023</v>
      </c>
      <c r="E396" s="7" t="s">
        <v>764</v>
      </c>
      <c r="F396" s="3">
        <v>44968</v>
      </c>
      <c r="G396" s="4">
        <v>471</v>
      </c>
      <c r="H396" s="4">
        <v>4</v>
      </c>
      <c r="I396" s="4" t="str">
        <f t="shared" si="6"/>
        <v>Standard</v>
      </c>
      <c r="J396" s="2" t="s">
        <v>30</v>
      </c>
      <c r="K396" s="2" t="s">
        <v>49</v>
      </c>
      <c r="L396" s="4">
        <v>1</v>
      </c>
      <c r="M396" s="4">
        <v>183.78</v>
      </c>
      <c r="N396" s="4">
        <v>183.78</v>
      </c>
      <c r="O396" s="2" t="s">
        <v>26</v>
      </c>
      <c r="P396" t="str">
        <f>IF('Cleaned Data'!N396&gt;JOTTING!F409,"High Sales","Low Sales")</f>
        <v>High Sales</v>
      </c>
    </row>
    <row r="397" spans="2:16" ht="15" x14ac:dyDescent="0.25">
      <c r="B397" s="2" t="s">
        <v>442</v>
      </c>
      <c r="C397" s="2" t="s">
        <v>754</v>
      </c>
      <c r="D397" s="7">
        <v>2023</v>
      </c>
      <c r="E397" s="7" t="s">
        <v>760</v>
      </c>
      <c r="F397" s="3">
        <v>45047</v>
      </c>
      <c r="G397" s="4">
        <v>585</v>
      </c>
      <c r="H397" s="4">
        <v>6</v>
      </c>
      <c r="I397" s="4" t="str">
        <f t="shared" si="6"/>
        <v>Standard</v>
      </c>
      <c r="J397" s="2" t="s">
        <v>24</v>
      </c>
      <c r="K397" s="2" t="s">
        <v>19</v>
      </c>
      <c r="L397" s="4">
        <v>3</v>
      </c>
      <c r="M397" s="4">
        <v>91.43</v>
      </c>
      <c r="N397" s="4">
        <v>274.29000000000002</v>
      </c>
      <c r="O397" s="2" t="s">
        <v>43</v>
      </c>
      <c r="P397" t="str">
        <f>IF('Cleaned Data'!N397&gt;JOTTING!F410,"High Sales","Low Sales")</f>
        <v>High Sales</v>
      </c>
    </row>
    <row r="398" spans="2:16" ht="15" x14ac:dyDescent="0.25">
      <c r="B398" s="2" t="s">
        <v>443</v>
      </c>
      <c r="C398" s="2" t="s">
        <v>754</v>
      </c>
      <c r="D398" s="7">
        <v>2023</v>
      </c>
      <c r="E398" s="7" t="s">
        <v>770</v>
      </c>
      <c r="F398" s="3">
        <v>45227</v>
      </c>
      <c r="G398" s="4">
        <v>533</v>
      </c>
      <c r="H398" s="4">
        <v>6</v>
      </c>
      <c r="I398" s="4" t="str">
        <f t="shared" si="6"/>
        <v>Standard</v>
      </c>
      <c r="J398" s="2" t="s">
        <v>30</v>
      </c>
      <c r="K398" s="2" t="s">
        <v>49</v>
      </c>
      <c r="L398" s="4">
        <v>2</v>
      </c>
      <c r="M398" s="4">
        <v>319.57</v>
      </c>
      <c r="N398" s="4">
        <v>639.14</v>
      </c>
      <c r="O398" s="2" t="s">
        <v>26</v>
      </c>
      <c r="P398" t="str">
        <f>IF('Cleaned Data'!N398&gt;JOTTING!F411,"High Sales","Low Sales")</f>
        <v>High Sales</v>
      </c>
    </row>
    <row r="399" spans="2:16" ht="15" x14ac:dyDescent="0.25">
      <c r="B399" s="2" t="s">
        <v>444</v>
      </c>
      <c r="C399" s="2" t="s">
        <v>755</v>
      </c>
      <c r="D399" s="7">
        <v>2023</v>
      </c>
      <c r="E399" s="7" t="s">
        <v>763</v>
      </c>
      <c r="F399" s="3">
        <v>45280</v>
      </c>
      <c r="G399" s="4">
        <v>745</v>
      </c>
      <c r="H399" s="4">
        <v>2</v>
      </c>
      <c r="I399" s="4" t="str">
        <f t="shared" si="6"/>
        <v>Early</v>
      </c>
      <c r="J399" s="2" t="s">
        <v>51</v>
      </c>
      <c r="K399" s="2" t="s">
        <v>19</v>
      </c>
      <c r="L399" s="4">
        <v>1</v>
      </c>
      <c r="M399" s="4">
        <v>330.64</v>
      </c>
      <c r="N399" s="4">
        <v>330.64</v>
      </c>
      <c r="O399" s="2" t="s">
        <v>26</v>
      </c>
      <c r="P399" t="str">
        <f>IF('Cleaned Data'!N399&gt;JOTTING!F412,"High Sales","Low Sales")</f>
        <v>High Sales</v>
      </c>
    </row>
    <row r="400" spans="2:16" ht="15" x14ac:dyDescent="0.25">
      <c r="B400" s="2" t="s">
        <v>445</v>
      </c>
      <c r="C400" s="2" t="s">
        <v>753</v>
      </c>
      <c r="D400" s="7">
        <v>2023</v>
      </c>
      <c r="E400" s="7" t="s">
        <v>770</v>
      </c>
      <c r="F400" s="3">
        <v>45223</v>
      </c>
      <c r="G400" s="4">
        <v>310</v>
      </c>
      <c r="H400" s="4">
        <v>8</v>
      </c>
      <c r="I400" s="4" t="str">
        <f t="shared" si="6"/>
        <v>Slow</v>
      </c>
      <c r="J400" s="2" t="s">
        <v>55</v>
      </c>
      <c r="K400" s="2" t="s">
        <v>39</v>
      </c>
      <c r="L400" s="4">
        <v>3</v>
      </c>
      <c r="M400" s="4">
        <v>341.83</v>
      </c>
      <c r="N400" s="4">
        <v>1025.49</v>
      </c>
      <c r="O400" s="2" t="s">
        <v>26</v>
      </c>
      <c r="P400" t="str">
        <f>IF('Cleaned Data'!N400&gt;JOTTING!F413,"High Sales","Low Sales")</f>
        <v>High Sales</v>
      </c>
    </row>
    <row r="401" spans="2:16" ht="15" x14ac:dyDescent="0.25">
      <c r="B401" s="2" t="s">
        <v>446</v>
      </c>
      <c r="C401" s="2" t="s">
        <v>756</v>
      </c>
      <c r="D401" s="7">
        <v>2023</v>
      </c>
      <c r="E401" s="7" t="s">
        <v>766</v>
      </c>
      <c r="F401" s="3">
        <v>45186</v>
      </c>
      <c r="G401" s="4">
        <v>671</v>
      </c>
      <c r="H401" s="4">
        <v>7</v>
      </c>
      <c r="I401" s="4" t="str">
        <f t="shared" si="6"/>
        <v>Slow</v>
      </c>
      <c r="J401" s="2" t="s">
        <v>63</v>
      </c>
      <c r="K401" s="2" t="s">
        <v>57</v>
      </c>
      <c r="L401" s="4">
        <v>3</v>
      </c>
      <c r="M401" s="4">
        <v>170.33</v>
      </c>
      <c r="N401" s="4">
        <v>510.99</v>
      </c>
      <c r="O401" s="2" t="s">
        <v>31</v>
      </c>
      <c r="P401" t="str">
        <f>IF('Cleaned Data'!N401&gt;JOTTING!F414,"High Sales","Low Sales")</f>
        <v>High Sales</v>
      </c>
    </row>
    <row r="402" spans="2:16" ht="15" x14ac:dyDescent="0.25">
      <c r="B402" s="2" t="s">
        <v>447</v>
      </c>
      <c r="C402" s="2" t="s">
        <v>756</v>
      </c>
      <c r="D402" s="7">
        <v>2023</v>
      </c>
      <c r="E402" s="7" t="s">
        <v>762</v>
      </c>
      <c r="F402" s="3">
        <v>45118</v>
      </c>
      <c r="G402" s="4">
        <v>476</v>
      </c>
      <c r="H402" s="4">
        <v>1</v>
      </c>
      <c r="I402" s="4" t="str">
        <f t="shared" si="6"/>
        <v>Early</v>
      </c>
      <c r="J402" s="2" t="s">
        <v>55</v>
      </c>
      <c r="K402" s="2" t="s">
        <v>57</v>
      </c>
      <c r="L402" s="4">
        <v>4</v>
      </c>
      <c r="M402" s="4">
        <v>56.8</v>
      </c>
      <c r="N402" s="4">
        <v>227.2</v>
      </c>
      <c r="O402" s="2" t="s">
        <v>26</v>
      </c>
      <c r="P402" t="str">
        <f>IF('Cleaned Data'!N402&gt;JOTTING!F415,"High Sales","Low Sales")</f>
        <v>High Sales</v>
      </c>
    </row>
    <row r="403" spans="2:16" ht="15" x14ac:dyDescent="0.25">
      <c r="B403" s="2" t="s">
        <v>448</v>
      </c>
      <c r="C403" s="2" t="s">
        <v>756</v>
      </c>
      <c r="D403" s="7">
        <v>2023</v>
      </c>
      <c r="E403" s="7" t="s">
        <v>764</v>
      </c>
      <c r="F403" s="3">
        <v>44963</v>
      </c>
      <c r="G403" s="4">
        <v>494</v>
      </c>
      <c r="H403" s="4">
        <v>5</v>
      </c>
      <c r="I403" s="4" t="str">
        <f t="shared" si="6"/>
        <v>Standard</v>
      </c>
      <c r="J403" s="2" t="s">
        <v>24</v>
      </c>
      <c r="K403" s="2" t="s">
        <v>25</v>
      </c>
      <c r="L403" s="4">
        <v>2</v>
      </c>
      <c r="M403" s="4">
        <v>484.26</v>
      </c>
      <c r="N403" s="4">
        <v>968.52</v>
      </c>
      <c r="O403" s="2" t="s">
        <v>20</v>
      </c>
      <c r="P403" t="str">
        <f>IF('Cleaned Data'!N403&gt;JOTTING!F416,"High Sales","Low Sales")</f>
        <v>High Sales</v>
      </c>
    </row>
    <row r="404" spans="2:16" ht="15" x14ac:dyDescent="0.25">
      <c r="B404" s="2" t="s">
        <v>449</v>
      </c>
      <c r="C404" s="2" t="s">
        <v>754</v>
      </c>
      <c r="D404" s="7">
        <v>2023</v>
      </c>
      <c r="E404" s="7" t="s">
        <v>763</v>
      </c>
      <c r="F404" s="3">
        <v>45282</v>
      </c>
      <c r="G404" s="4">
        <v>549</v>
      </c>
      <c r="H404" s="4">
        <v>6</v>
      </c>
      <c r="I404" s="4" t="str">
        <f t="shared" si="6"/>
        <v>Standard</v>
      </c>
      <c r="J404" s="2" t="s">
        <v>42</v>
      </c>
      <c r="K404" s="2" t="s">
        <v>19</v>
      </c>
      <c r="L404" s="4">
        <v>4</v>
      </c>
      <c r="M404" s="4">
        <v>162.9</v>
      </c>
      <c r="N404" s="4">
        <v>651.6</v>
      </c>
      <c r="O404" s="2" t="s">
        <v>20</v>
      </c>
      <c r="P404" t="str">
        <f>IF('Cleaned Data'!N404&gt;JOTTING!F417,"High Sales","Low Sales")</f>
        <v>High Sales</v>
      </c>
    </row>
    <row r="405" spans="2:16" ht="15" x14ac:dyDescent="0.25">
      <c r="B405" s="2" t="s">
        <v>450</v>
      </c>
      <c r="C405" s="2" t="s">
        <v>753</v>
      </c>
      <c r="D405" s="7">
        <v>2023</v>
      </c>
      <c r="E405" s="7" t="s">
        <v>770</v>
      </c>
      <c r="F405" s="3">
        <v>45207</v>
      </c>
      <c r="G405" s="4">
        <v>463</v>
      </c>
      <c r="H405" s="4">
        <v>4</v>
      </c>
      <c r="I405" s="4" t="str">
        <f t="shared" si="6"/>
        <v>Standard</v>
      </c>
      <c r="J405" s="2" t="s">
        <v>63</v>
      </c>
      <c r="K405" s="2" t="s">
        <v>25</v>
      </c>
      <c r="L405" s="4">
        <v>2</v>
      </c>
      <c r="M405" s="4">
        <v>354.21</v>
      </c>
      <c r="N405" s="4">
        <v>708.42</v>
      </c>
      <c r="O405" s="2" t="s">
        <v>26</v>
      </c>
      <c r="P405" t="str">
        <f>IF('Cleaned Data'!N405&gt;JOTTING!F418,"High Sales","Low Sales")</f>
        <v>High Sales</v>
      </c>
    </row>
    <row r="406" spans="2:16" ht="15" x14ac:dyDescent="0.25">
      <c r="B406" s="2" t="s">
        <v>451</v>
      </c>
      <c r="C406" s="2" t="s">
        <v>756</v>
      </c>
      <c r="D406" s="7">
        <v>2023</v>
      </c>
      <c r="E406" s="7" t="s">
        <v>768</v>
      </c>
      <c r="F406" s="3">
        <v>45162</v>
      </c>
      <c r="G406" s="4">
        <v>975</v>
      </c>
      <c r="H406" s="4">
        <v>2</v>
      </c>
      <c r="I406" s="4" t="str">
        <f t="shared" si="6"/>
        <v>Early</v>
      </c>
      <c r="J406" s="2" t="s">
        <v>18</v>
      </c>
      <c r="K406" s="2" t="s">
        <v>57</v>
      </c>
      <c r="L406" s="4">
        <v>1</v>
      </c>
      <c r="M406" s="4">
        <v>367.98</v>
      </c>
      <c r="N406" s="4">
        <v>367.98</v>
      </c>
      <c r="O406" s="2" t="s">
        <v>31</v>
      </c>
      <c r="P406" t="str">
        <f>IF('Cleaned Data'!N406&gt;JOTTING!F419,"High Sales","Low Sales")</f>
        <v>High Sales</v>
      </c>
    </row>
    <row r="407" spans="2:16" ht="15" x14ac:dyDescent="0.25">
      <c r="B407" s="2" t="s">
        <v>452</v>
      </c>
      <c r="C407" s="2" t="s">
        <v>757</v>
      </c>
      <c r="D407" s="7">
        <v>2023</v>
      </c>
      <c r="E407" s="7" t="s">
        <v>770</v>
      </c>
      <c r="F407" s="3">
        <v>45208</v>
      </c>
      <c r="G407" s="4">
        <v>556</v>
      </c>
      <c r="H407" s="4">
        <v>4</v>
      </c>
      <c r="I407" s="4" t="str">
        <f t="shared" si="6"/>
        <v>Standard</v>
      </c>
      <c r="J407" s="2" t="s">
        <v>24</v>
      </c>
      <c r="K407" s="2" t="s">
        <v>25</v>
      </c>
      <c r="L407" s="4">
        <v>2</v>
      </c>
      <c r="M407" s="4">
        <v>324.5</v>
      </c>
      <c r="N407" s="4">
        <v>649</v>
      </c>
      <c r="O407" s="2" t="s">
        <v>20</v>
      </c>
      <c r="P407" t="str">
        <f>IF('Cleaned Data'!N407&gt;JOTTING!F420,"High Sales","Low Sales")</f>
        <v>High Sales</v>
      </c>
    </row>
    <row r="408" spans="2:16" ht="15" x14ac:dyDescent="0.25">
      <c r="B408" s="2" t="s">
        <v>453</v>
      </c>
      <c r="C408" s="2" t="s">
        <v>755</v>
      </c>
      <c r="D408" s="7">
        <v>2023</v>
      </c>
      <c r="E408" s="7" t="s">
        <v>766</v>
      </c>
      <c r="F408" s="3">
        <v>45192</v>
      </c>
      <c r="G408" s="4">
        <v>824</v>
      </c>
      <c r="H408" s="4">
        <v>1</v>
      </c>
      <c r="I408" s="4" t="str">
        <f t="shared" si="6"/>
        <v>Early</v>
      </c>
      <c r="J408" s="2" t="s">
        <v>30</v>
      </c>
      <c r="K408" s="2" t="s">
        <v>19</v>
      </c>
      <c r="L408" s="4">
        <v>3</v>
      </c>
      <c r="M408" s="4">
        <v>190.81</v>
      </c>
      <c r="N408" s="4">
        <v>572.42999999999995</v>
      </c>
      <c r="O408" s="2" t="s">
        <v>20</v>
      </c>
      <c r="P408" t="str">
        <f>IF('Cleaned Data'!N408&gt;JOTTING!F421,"High Sales","Low Sales")</f>
        <v>High Sales</v>
      </c>
    </row>
    <row r="409" spans="2:16" ht="15" x14ac:dyDescent="0.25">
      <c r="B409" s="2" t="s">
        <v>454</v>
      </c>
      <c r="C409" s="2" t="s">
        <v>756</v>
      </c>
      <c r="D409" s="7">
        <v>2023</v>
      </c>
      <c r="E409" s="7" t="s">
        <v>768</v>
      </c>
      <c r="F409" s="3">
        <v>45166</v>
      </c>
      <c r="G409" s="4">
        <v>827</v>
      </c>
      <c r="H409" s="4">
        <v>7</v>
      </c>
      <c r="I409" s="4" t="str">
        <f t="shared" si="6"/>
        <v>Slow</v>
      </c>
      <c r="J409" s="2" t="s">
        <v>24</v>
      </c>
      <c r="K409" s="2" t="s">
        <v>25</v>
      </c>
      <c r="L409" s="4">
        <v>3</v>
      </c>
      <c r="M409" s="4">
        <v>171.99</v>
      </c>
      <c r="N409" s="4">
        <v>515.97</v>
      </c>
      <c r="O409" s="2" t="s">
        <v>31</v>
      </c>
      <c r="P409" t="str">
        <f>IF('Cleaned Data'!N409&gt;JOTTING!F422,"High Sales","Low Sales")</f>
        <v>High Sales</v>
      </c>
    </row>
    <row r="410" spans="2:16" ht="15" x14ac:dyDescent="0.25">
      <c r="B410" s="2" t="s">
        <v>455</v>
      </c>
      <c r="C410" s="2" t="s">
        <v>755</v>
      </c>
      <c r="D410" s="7">
        <v>2023</v>
      </c>
      <c r="E410" s="7" t="s">
        <v>763</v>
      </c>
      <c r="F410" s="3">
        <v>45286</v>
      </c>
      <c r="G410" s="4">
        <v>325</v>
      </c>
      <c r="H410" s="4">
        <v>2</v>
      </c>
      <c r="I410" s="4" t="str">
        <f t="shared" si="6"/>
        <v>Early</v>
      </c>
      <c r="J410" s="2" t="s">
        <v>55</v>
      </c>
      <c r="K410" s="2" t="s">
        <v>57</v>
      </c>
      <c r="L410" s="4">
        <v>2</v>
      </c>
      <c r="M410" s="4">
        <v>318.95</v>
      </c>
      <c r="N410" s="4">
        <v>637.9</v>
      </c>
      <c r="O410" s="2" t="s">
        <v>26</v>
      </c>
      <c r="P410" t="str">
        <f>IF('Cleaned Data'!N410&gt;JOTTING!F423,"High Sales","Low Sales")</f>
        <v>High Sales</v>
      </c>
    </row>
    <row r="411" spans="2:16" ht="15" x14ac:dyDescent="0.25">
      <c r="B411" s="2" t="s">
        <v>456</v>
      </c>
      <c r="C411" s="2" t="s">
        <v>757</v>
      </c>
      <c r="D411" s="7">
        <v>2023</v>
      </c>
      <c r="E411" s="7" t="s">
        <v>759</v>
      </c>
      <c r="F411" s="3">
        <v>45258</v>
      </c>
      <c r="G411" s="4">
        <v>230</v>
      </c>
      <c r="H411" s="4">
        <v>2</v>
      </c>
      <c r="I411" s="4" t="str">
        <f t="shared" si="6"/>
        <v>Early</v>
      </c>
      <c r="J411" s="2" t="s">
        <v>55</v>
      </c>
      <c r="K411" s="2" t="s">
        <v>39</v>
      </c>
      <c r="L411" s="4">
        <v>2</v>
      </c>
      <c r="M411" s="4">
        <v>439.74</v>
      </c>
      <c r="N411" s="4">
        <v>879.48</v>
      </c>
      <c r="O411" s="2" t="s">
        <v>31</v>
      </c>
      <c r="P411" t="str">
        <f>IF('Cleaned Data'!N411&gt;JOTTING!F424,"High Sales","Low Sales")</f>
        <v>High Sales</v>
      </c>
    </row>
    <row r="412" spans="2:16" ht="15" x14ac:dyDescent="0.25">
      <c r="B412" s="2" t="s">
        <v>457</v>
      </c>
      <c r="C412" s="2" t="s">
        <v>755</v>
      </c>
      <c r="D412" s="7">
        <v>2023</v>
      </c>
      <c r="E412" s="7" t="s">
        <v>766</v>
      </c>
      <c r="F412" s="3">
        <v>45172</v>
      </c>
      <c r="G412" s="4">
        <v>687</v>
      </c>
      <c r="H412" s="4">
        <v>9</v>
      </c>
      <c r="I412" s="4" t="str">
        <f t="shared" si="6"/>
        <v>Slow</v>
      </c>
      <c r="J412" s="2" t="s">
        <v>63</v>
      </c>
      <c r="K412" s="2" t="s">
        <v>19</v>
      </c>
      <c r="L412" s="4">
        <v>2</v>
      </c>
      <c r="M412" s="4">
        <v>476.03</v>
      </c>
      <c r="N412" s="4">
        <v>952.06</v>
      </c>
      <c r="O412" s="2" t="s">
        <v>26</v>
      </c>
      <c r="P412" t="str">
        <f>IF('Cleaned Data'!N412&gt;JOTTING!F425,"High Sales","Low Sales")</f>
        <v>High Sales</v>
      </c>
    </row>
    <row r="413" spans="2:16" ht="15" x14ac:dyDescent="0.25">
      <c r="B413" s="2" t="s">
        <v>458</v>
      </c>
      <c r="C413" s="2" t="s">
        <v>756</v>
      </c>
      <c r="D413" s="7">
        <v>2023</v>
      </c>
      <c r="E413" s="7" t="s">
        <v>766</v>
      </c>
      <c r="F413" s="3">
        <v>45185</v>
      </c>
      <c r="G413" s="4">
        <v>575</v>
      </c>
      <c r="H413" s="4">
        <v>5</v>
      </c>
      <c r="I413" s="4" t="str">
        <f t="shared" si="6"/>
        <v>Standard</v>
      </c>
      <c r="J413" s="2" t="s">
        <v>30</v>
      </c>
      <c r="K413" s="2" t="s">
        <v>49</v>
      </c>
      <c r="L413" s="4">
        <v>4</v>
      </c>
      <c r="M413" s="4">
        <v>97.66</v>
      </c>
      <c r="N413" s="4">
        <v>390.64</v>
      </c>
      <c r="O413" s="2" t="s">
        <v>31</v>
      </c>
      <c r="P413" t="str">
        <f>IF('Cleaned Data'!N413&gt;JOTTING!F426,"High Sales","Low Sales")</f>
        <v>High Sales</v>
      </c>
    </row>
    <row r="414" spans="2:16" ht="15" x14ac:dyDescent="0.25">
      <c r="B414" s="2" t="s">
        <v>459</v>
      </c>
      <c r="C414" s="2" t="s">
        <v>756</v>
      </c>
      <c r="D414" s="7">
        <v>2023</v>
      </c>
      <c r="E414" s="7" t="s">
        <v>761</v>
      </c>
      <c r="F414" s="3">
        <v>44947</v>
      </c>
      <c r="G414" s="4">
        <v>897</v>
      </c>
      <c r="H414" s="4">
        <v>2</v>
      </c>
      <c r="I414" s="4" t="str">
        <f t="shared" si="6"/>
        <v>Early</v>
      </c>
      <c r="J414" s="2" t="s">
        <v>30</v>
      </c>
      <c r="K414" s="2" t="s">
        <v>19</v>
      </c>
      <c r="L414" s="4">
        <v>2</v>
      </c>
      <c r="M414" s="4">
        <v>119.67</v>
      </c>
      <c r="N414" s="4">
        <v>239.34</v>
      </c>
      <c r="O414" s="2" t="s">
        <v>31</v>
      </c>
      <c r="P414" t="str">
        <f>IF('Cleaned Data'!N414&gt;JOTTING!F427,"High Sales","Low Sales")</f>
        <v>High Sales</v>
      </c>
    </row>
    <row r="415" spans="2:16" ht="15" x14ac:dyDescent="0.25">
      <c r="B415" s="2" t="s">
        <v>460</v>
      </c>
      <c r="C415" s="2" t="s">
        <v>754</v>
      </c>
      <c r="D415" s="7">
        <v>2023</v>
      </c>
      <c r="E415" s="7" t="s">
        <v>766</v>
      </c>
      <c r="F415" s="3">
        <v>45180</v>
      </c>
      <c r="G415" s="4">
        <v>376</v>
      </c>
      <c r="H415" s="4">
        <v>9</v>
      </c>
      <c r="I415" s="4" t="str">
        <f t="shared" si="6"/>
        <v>Slow</v>
      </c>
      <c r="J415" s="2" t="s">
        <v>24</v>
      </c>
      <c r="K415" s="2" t="s">
        <v>49</v>
      </c>
      <c r="L415" s="4">
        <v>1</v>
      </c>
      <c r="M415" s="4">
        <v>475.13</v>
      </c>
      <c r="N415" s="4">
        <v>475.13</v>
      </c>
      <c r="O415" s="2" t="s">
        <v>43</v>
      </c>
      <c r="P415" t="str">
        <f>IF('Cleaned Data'!N415&gt;JOTTING!F428,"High Sales","Low Sales")</f>
        <v>High Sales</v>
      </c>
    </row>
    <row r="416" spans="2:16" ht="15" x14ac:dyDescent="0.25">
      <c r="B416" s="2" t="s">
        <v>461</v>
      </c>
      <c r="C416" s="2" t="s">
        <v>754</v>
      </c>
      <c r="D416" s="7">
        <v>2023</v>
      </c>
      <c r="E416" s="7" t="s">
        <v>761</v>
      </c>
      <c r="F416" s="3">
        <v>44952</v>
      </c>
      <c r="G416" s="4">
        <v>255</v>
      </c>
      <c r="H416" s="4">
        <v>9</v>
      </c>
      <c r="I416" s="4" t="str">
        <f t="shared" si="6"/>
        <v>Slow</v>
      </c>
      <c r="J416" s="2" t="s">
        <v>18</v>
      </c>
      <c r="K416" s="2" t="s">
        <v>49</v>
      </c>
      <c r="L416" s="4">
        <v>4</v>
      </c>
      <c r="M416" s="4">
        <v>381.44</v>
      </c>
      <c r="N416" s="4">
        <v>1525.76</v>
      </c>
      <c r="O416" s="2" t="s">
        <v>31</v>
      </c>
      <c r="P416" t="str">
        <f>IF('Cleaned Data'!N416&gt;JOTTING!F429,"High Sales","Low Sales")</f>
        <v>High Sales</v>
      </c>
    </row>
    <row r="417" spans="2:16" ht="15" x14ac:dyDescent="0.25">
      <c r="B417" s="2" t="s">
        <v>462</v>
      </c>
      <c r="C417" s="2" t="s">
        <v>757</v>
      </c>
      <c r="D417" s="7">
        <v>2023</v>
      </c>
      <c r="E417" s="7" t="s">
        <v>768</v>
      </c>
      <c r="F417" s="3">
        <v>45142</v>
      </c>
      <c r="G417" s="4">
        <v>859</v>
      </c>
      <c r="H417" s="4">
        <v>1</v>
      </c>
      <c r="I417" s="4" t="str">
        <f t="shared" si="6"/>
        <v>Early</v>
      </c>
      <c r="J417" s="2" t="s">
        <v>42</v>
      </c>
      <c r="K417" s="2" t="s">
        <v>49</v>
      </c>
      <c r="L417" s="4">
        <v>4</v>
      </c>
      <c r="M417" s="4">
        <v>447.35</v>
      </c>
      <c r="N417" s="4">
        <v>1789.4</v>
      </c>
      <c r="O417" s="2" t="s">
        <v>31</v>
      </c>
      <c r="P417" t="str">
        <f>IF('Cleaned Data'!N417&gt;JOTTING!F430,"High Sales","Low Sales")</f>
        <v>High Sales</v>
      </c>
    </row>
    <row r="418" spans="2:16" ht="15" x14ac:dyDescent="0.25">
      <c r="B418" s="2" t="s">
        <v>463</v>
      </c>
      <c r="C418" s="2" t="s">
        <v>753</v>
      </c>
      <c r="D418" s="7">
        <v>2024</v>
      </c>
      <c r="E418" s="7" t="s">
        <v>761</v>
      </c>
      <c r="F418" s="3">
        <v>45294</v>
      </c>
      <c r="G418" s="4">
        <v>317</v>
      </c>
      <c r="H418" s="4">
        <v>3</v>
      </c>
      <c r="I418" s="4" t="str">
        <f t="shared" si="6"/>
        <v>Standard</v>
      </c>
      <c r="J418" s="2" t="s">
        <v>51</v>
      </c>
      <c r="K418" s="2" t="s">
        <v>39</v>
      </c>
      <c r="L418" s="4">
        <v>2</v>
      </c>
      <c r="M418" s="4">
        <v>141.18</v>
      </c>
      <c r="N418" s="4">
        <v>282.36</v>
      </c>
      <c r="O418" s="2" t="s">
        <v>31</v>
      </c>
      <c r="P418" t="str">
        <f>IF('Cleaned Data'!N418&gt;JOTTING!F431,"High Sales","Low Sales")</f>
        <v>High Sales</v>
      </c>
    </row>
    <row r="419" spans="2:16" ht="15" x14ac:dyDescent="0.25">
      <c r="B419" s="2" t="s">
        <v>464</v>
      </c>
      <c r="C419" s="2" t="s">
        <v>755</v>
      </c>
      <c r="D419" s="7">
        <v>2023</v>
      </c>
      <c r="E419" s="7" t="s">
        <v>762</v>
      </c>
      <c r="F419" s="3">
        <v>45133</v>
      </c>
      <c r="G419" s="4">
        <v>289</v>
      </c>
      <c r="H419" s="4">
        <v>4</v>
      </c>
      <c r="I419" s="4" t="str">
        <f t="shared" si="6"/>
        <v>Standard</v>
      </c>
      <c r="J419" s="2" t="s">
        <v>51</v>
      </c>
      <c r="K419" s="2" t="s">
        <v>25</v>
      </c>
      <c r="L419" s="4">
        <v>1</v>
      </c>
      <c r="M419" s="4">
        <v>314.41000000000003</v>
      </c>
      <c r="N419" s="4">
        <v>314.41000000000003</v>
      </c>
      <c r="O419" s="2" t="s">
        <v>26</v>
      </c>
      <c r="P419" t="str">
        <f>IF('Cleaned Data'!N419&gt;JOTTING!F432,"High Sales","Low Sales")</f>
        <v>High Sales</v>
      </c>
    </row>
    <row r="420" spans="2:16" ht="15" x14ac:dyDescent="0.25">
      <c r="B420" s="2" t="s">
        <v>465</v>
      </c>
      <c r="C420" s="2" t="s">
        <v>754</v>
      </c>
      <c r="D420" s="7">
        <v>2023</v>
      </c>
      <c r="E420" s="7" t="s">
        <v>765</v>
      </c>
      <c r="F420" s="3">
        <v>45106</v>
      </c>
      <c r="G420" s="4">
        <v>516</v>
      </c>
      <c r="H420" s="4">
        <v>7</v>
      </c>
      <c r="I420" s="4" t="str">
        <f t="shared" si="6"/>
        <v>Slow</v>
      </c>
      <c r="J420" s="2" t="s">
        <v>18</v>
      </c>
      <c r="K420" s="2" t="s">
        <v>25</v>
      </c>
      <c r="L420" s="4">
        <v>4</v>
      </c>
      <c r="M420" s="4">
        <v>365.51</v>
      </c>
      <c r="N420" s="4">
        <v>1462.04</v>
      </c>
      <c r="O420" s="2" t="s">
        <v>20</v>
      </c>
      <c r="P420" t="str">
        <f>IF('Cleaned Data'!N420&gt;JOTTING!F433,"High Sales","Low Sales")</f>
        <v>High Sales</v>
      </c>
    </row>
    <row r="421" spans="2:16" ht="15" x14ac:dyDescent="0.25">
      <c r="B421" s="2" t="s">
        <v>466</v>
      </c>
      <c r="C421" s="2" t="s">
        <v>754</v>
      </c>
      <c r="D421" s="7">
        <v>2023</v>
      </c>
      <c r="E421" s="7" t="s">
        <v>769</v>
      </c>
      <c r="F421" s="3">
        <v>45045</v>
      </c>
      <c r="G421" s="4">
        <v>774</v>
      </c>
      <c r="H421" s="4">
        <v>4</v>
      </c>
      <c r="I421" s="4" t="str">
        <f t="shared" si="6"/>
        <v>Standard</v>
      </c>
      <c r="J421" s="2" t="s">
        <v>30</v>
      </c>
      <c r="K421" s="2" t="s">
        <v>19</v>
      </c>
      <c r="L421" s="4">
        <v>3</v>
      </c>
      <c r="M421" s="4">
        <v>356.05</v>
      </c>
      <c r="N421" s="4">
        <v>1068.1500000000001</v>
      </c>
      <c r="O421" s="2" t="s">
        <v>43</v>
      </c>
      <c r="P421" t="str">
        <f>IF('Cleaned Data'!N421&gt;JOTTING!F434,"High Sales","Low Sales")</f>
        <v>High Sales</v>
      </c>
    </row>
    <row r="422" spans="2:16" ht="15" x14ac:dyDescent="0.25">
      <c r="B422" s="2" t="s">
        <v>467</v>
      </c>
      <c r="C422" s="2" t="s">
        <v>754</v>
      </c>
      <c r="D422" s="7">
        <v>2023</v>
      </c>
      <c r="E422" s="7" t="s">
        <v>764</v>
      </c>
      <c r="F422" s="3">
        <v>44972</v>
      </c>
      <c r="G422" s="4">
        <v>791</v>
      </c>
      <c r="H422" s="4">
        <v>2</v>
      </c>
      <c r="I422" s="4" t="str">
        <f t="shared" si="6"/>
        <v>Early</v>
      </c>
      <c r="J422" s="2" t="s">
        <v>51</v>
      </c>
      <c r="K422" s="2" t="s">
        <v>57</v>
      </c>
      <c r="L422" s="4">
        <v>4</v>
      </c>
      <c r="M422" s="4">
        <v>233.67</v>
      </c>
      <c r="N422" s="4">
        <v>934.68</v>
      </c>
      <c r="O422" s="2" t="s">
        <v>43</v>
      </c>
      <c r="P422" t="str">
        <f>IF('Cleaned Data'!N422&gt;JOTTING!F435,"High Sales","Low Sales")</f>
        <v>High Sales</v>
      </c>
    </row>
    <row r="423" spans="2:16" ht="15" x14ac:dyDescent="0.25">
      <c r="B423" s="2" t="s">
        <v>468</v>
      </c>
      <c r="C423" s="2" t="s">
        <v>756</v>
      </c>
      <c r="D423" s="7">
        <v>2023</v>
      </c>
      <c r="E423" s="7" t="s">
        <v>770</v>
      </c>
      <c r="F423" s="3">
        <v>45200</v>
      </c>
      <c r="G423" s="4">
        <v>645</v>
      </c>
      <c r="H423" s="4">
        <v>7</v>
      </c>
      <c r="I423" s="4" t="str">
        <f t="shared" si="6"/>
        <v>Slow</v>
      </c>
      <c r="J423" s="2" t="s">
        <v>63</v>
      </c>
      <c r="K423" s="2" t="s">
        <v>25</v>
      </c>
      <c r="L423" s="4">
        <v>2</v>
      </c>
      <c r="M423" s="4">
        <v>56.93</v>
      </c>
      <c r="N423" s="4">
        <v>113.86</v>
      </c>
      <c r="O423" s="2" t="s">
        <v>26</v>
      </c>
      <c r="P423" t="str">
        <f>IF('Cleaned Data'!N423&gt;JOTTING!F436,"High Sales","Low Sales")</f>
        <v>High Sales</v>
      </c>
    </row>
    <row r="424" spans="2:16" ht="15" x14ac:dyDescent="0.25">
      <c r="B424" s="2" t="s">
        <v>469</v>
      </c>
      <c r="C424" s="2" t="s">
        <v>753</v>
      </c>
      <c r="D424" s="7">
        <v>2023</v>
      </c>
      <c r="E424" s="7" t="s">
        <v>767</v>
      </c>
      <c r="F424" s="3">
        <v>45003</v>
      </c>
      <c r="G424" s="4">
        <v>140</v>
      </c>
      <c r="H424" s="4">
        <v>6</v>
      </c>
      <c r="I424" s="4" t="str">
        <f t="shared" si="6"/>
        <v>Standard</v>
      </c>
      <c r="J424" s="2" t="s">
        <v>30</v>
      </c>
      <c r="K424" s="2" t="s">
        <v>57</v>
      </c>
      <c r="L424" s="4">
        <v>1</v>
      </c>
      <c r="M424" s="4">
        <v>312.32</v>
      </c>
      <c r="N424" s="4">
        <v>312.32</v>
      </c>
      <c r="O424" s="2" t="s">
        <v>26</v>
      </c>
      <c r="P424" t="str">
        <f>IF('Cleaned Data'!N424&gt;JOTTING!F437,"High Sales","Low Sales")</f>
        <v>High Sales</v>
      </c>
    </row>
    <row r="425" spans="2:16" ht="15" x14ac:dyDescent="0.25">
      <c r="B425" s="2" t="s">
        <v>470</v>
      </c>
      <c r="C425" s="2" t="s">
        <v>753</v>
      </c>
      <c r="D425" s="7">
        <v>2023</v>
      </c>
      <c r="E425" s="7" t="s">
        <v>764</v>
      </c>
      <c r="F425" s="3">
        <v>44972</v>
      </c>
      <c r="G425" s="4">
        <v>406</v>
      </c>
      <c r="H425" s="4">
        <v>3</v>
      </c>
      <c r="I425" s="4" t="str">
        <f t="shared" si="6"/>
        <v>Standard</v>
      </c>
      <c r="J425" s="2" t="s">
        <v>51</v>
      </c>
      <c r="K425" s="2" t="s">
        <v>25</v>
      </c>
      <c r="L425" s="4">
        <v>2</v>
      </c>
      <c r="M425" s="4">
        <v>163.9</v>
      </c>
      <c r="N425" s="4">
        <v>327.8</v>
      </c>
      <c r="O425" s="2" t="s">
        <v>20</v>
      </c>
      <c r="P425" t="str">
        <f>IF('Cleaned Data'!N425&gt;JOTTING!F438,"High Sales","Low Sales")</f>
        <v>High Sales</v>
      </c>
    </row>
    <row r="426" spans="2:16" ht="15" x14ac:dyDescent="0.25">
      <c r="B426" s="2" t="s">
        <v>471</v>
      </c>
      <c r="C426" s="2" t="s">
        <v>754</v>
      </c>
      <c r="D426" s="7">
        <v>2023</v>
      </c>
      <c r="E426" s="7" t="s">
        <v>765</v>
      </c>
      <c r="F426" s="3">
        <v>45086</v>
      </c>
      <c r="G426" s="4">
        <v>437</v>
      </c>
      <c r="H426" s="4">
        <v>6</v>
      </c>
      <c r="I426" s="4" t="str">
        <f t="shared" si="6"/>
        <v>Standard</v>
      </c>
      <c r="J426" s="2" t="s">
        <v>42</v>
      </c>
      <c r="K426" s="2" t="s">
        <v>49</v>
      </c>
      <c r="L426" s="4">
        <v>3</v>
      </c>
      <c r="M426" s="4">
        <v>252.61</v>
      </c>
      <c r="N426" s="4">
        <v>757.83</v>
      </c>
      <c r="O426" s="2" t="s">
        <v>26</v>
      </c>
      <c r="P426" t="str">
        <f>IF('Cleaned Data'!N426&gt;JOTTING!F439,"High Sales","Low Sales")</f>
        <v>High Sales</v>
      </c>
    </row>
    <row r="427" spans="2:16" ht="15" x14ac:dyDescent="0.25">
      <c r="B427" s="2" t="s">
        <v>472</v>
      </c>
      <c r="C427" s="2" t="s">
        <v>756</v>
      </c>
      <c r="D427" s="7">
        <v>2023</v>
      </c>
      <c r="E427" s="7" t="s">
        <v>770</v>
      </c>
      <c r="F427" s="3">
        <v>45223</v>
      </c>
      <c r="G427" s="4">
        <v>413</v>
      </c>
      <c r="H427" s="4">
        <v>6</v>
      </c>
      <c r="I427" s="4" t="str">
        <f t="shared" si="6"/>
        <v>Standard</v>
      </c>
      <c r="J427" s="2" t="s">
        <v>55</v>
      </c>
      <c r="K427" s="2" t="s">
        <v>19</v>
      </c>
      <c r="L427" s="4">
        <v>3</v>
      </c>
      <c r="M427" s="4">
        <v>480.91</v>
      </c>
      <c r="N427" s="4">
        <v>1442.73</v>
      </c>
      <c r="O427" s="2" t="s">
        <v>31</v>
      </c>
      <c r="P427" t="str">
        <f>IF('Cleaned Data'!N427&gt;JOTTING!F440,"High Sales","Low Sales")</f>
        <v>High Sales</v>
      </c>
    </row>
    <row r="428" spans="2:16" ht="15" x14ac:dyDescent="0.25">
      <c r="B428" s="2" t="s">
        <v>473</v>
      </c>
      <c r="C428" s="2" t="s">
        <v>754</v>
      </c>
      <c r="D428" s="7">
        <v>2023</v>
      </c>
      <c r="E428" s="7" t="s">
        <v>770</v>
      </c>
      <c r="F428" s="3">
        <v>45203</v>
      </c>
      <c r="G428" s="4">
        <v>174</v>
      </c>
      <c r="H428" s="4">
        <v>5</v>
      </c>
      <c r="I428" s="4" t="str">
        <f t="shared" si="6"/>
        <v>Standard</v>
      </c>
      <c r="J428" s="2" t="s">
        <v>51</v>
      </c>
      <c r="K428" s="2" t="s">
        <v>19</v>
      </c>
      <c r="L428" s="4">
        <v>3</v>
      </c>
      <c r="M428" s="4">
        <v>229.57</v>
      </c>
      <c r="N428" s="4">
        <v>688.71</v>
      </c>
      <c r="O428" s="2" t="s">
        <v>31</v>
      </c>
      <c r="P428" t="str">
        <f>IF('Cleaned Data'!N428&gt;JOTTING!F441,"High Sales","Low Sales")</f>
        <v>High Sales</v>
      </c>
    </row>
    <row r="429" spans="2:16" ht="15" x14ac:dyDescent="0.25">
      <c r="B429" s="2" t="s">
        <v>474</v>
      </c>
      <c r="C429" s="2" t="s">
        <v>754</v>
      </c>
      <c r="D429" s="7">
        <v>2023</v>
      </c>
      <c r="E429" s="7" t="s">
        <v>761</v>
      </c>
      <c r="F429" s="3">
        <v>44951</v>
      </c>
      <c r="G429" s="4">
        <v>378</v>
      </c>
      <c r="H429" s="4">
        <v>4</v>
      </c>
      <c r="I429" s="4" t="str">
        <f t="shared" si="6"/>
        <v>Standard</v>
      </c>
      <c r="J429" s="2" t="s">
        <v>51</v>
      </c>
      <c r="K429" s="2" t="s">
        <v>19</v>
      </c>
      <c r="L429" s="4">
        <v>2</v>
      </c>
      <c r="M429" s="4">
        <v>427.91</v>
      </c>
      <c r="N429" s="4">
        <v>855.82</v>
      </c>
      <c r="O429" s="2" t="s">
        <v>31</v>
      </c>
      <c r="P429" t="str">
        <f>IF('Cleaned Data'!N429&gt;JOTTING!F442,"High Sales","Low Sales")</f>
        <v>High Sales</v>
      </c>
    </row>
    <row r="430" spans="2:16" ht="15" x14ac:dyDescent="0.25">
      <c r="B430" s="2" t="s">
        <v>475</v>
      </c>
      <c r="C430" s="2" t="s">
        <v>755</v>
      </c>
      <c r="D430" s="7">
        <v>2023</v>
      </c>
      <c r="E430" s="7" t="s">
        <v>765</v>
      </c>
      <c r="F430" s="3">
        <v>45094</v>
      </c>
      <c r="G430" s="4">
        <v>275</v>
      </c>
      <c r="H430" s="4">
        <v>1</v>
      </c>
      <c r="I430" s="4" t="str">
        <f t="shared" si="6"/>
        <v>Early</v>
      </c>
      <c r="J430" s="2" t="s">
        <v>30</v>
      </c>
      <c r="K430" s="2" t="s">
        <v>25</v>
      </c>
      <c r="L430" s="4">
        <v>4</v>
      </c>
      <c r="M430" s="4">
        <v>134.84</v>
      </c>
      <c r="N430" s="4">
        <v>539.36</v>
      </c>
      <c r="O430" s="2" t="s">
        <v>31</v>
      </c>
      <c r="P430" t="str">
        <f>IF('Cleaned Data'!N430&gt;JOTTING!F443,"High Sales","Low Sales")</f>
        <v>High Sales</v>
      </c>
    </row>
    <row r="431" spans="2:16" ht="15" x14ac:dyDescent="0.25">
      <c r="B431" s="2" t="s">
        <v>476</v>
      </c>
      <c r="C431" s="2" t="s">
        <v>753</v>
      </c>
      <c r="D431" s="7">
        <v>2023</v>
      </c>
      <c r="E431" s="7" t="s">
        <v>762</v>
      </c>
      <c r="F431" s="3">
        <v>45123</v>
      </c>
      <c r="G431" s="4">
        <v>995</v>
      </c>
      <c r="H431" s="4">
        <v>6</v>
      </c>
      <c r="I431" s="4" t="str">
        <f t="shared" si="6"/>
        <v>Standard</v>
      </c>
      <c r="J431" s="2" t="s">
        <v>63</v>
      </c>
      <c r="K431" s="2" t="s">
        <v>39</v>
      </c>
      <c r="L431" s="4">
        <v>2</v>
      </c>
      <c r="M431" s="4">
        <v>352.61</v>
      </c>
      <c r="N431" s="4">
        <v>705.22</v>
      </c>
      <c r="O431" s="2" t="s">
        <v>31</v>
      </c>
      <c r="P431" t="str">
        <f>IF('Cleaned Data'!N431&gt;JOTTING!F444,"High Sales","Low Sales")</f>
        <v>High Sales</v>
      </c>
    </row>
    <row r="432" spans="2:16" ht="15" x14ac:dyDescent="0.25">
      <c r="B432" s="2" t="s">
        <v>477</v>
      </c>
      <c r="C432" s="2" t="s">
        <v>753</v>
      </c>
      <c r="D432" s="7">
        <v>2023</v>
      </c>
      <c r="E432" s="7" t="s">
        <v>768</v>
      </c>
      <c r="F432" s="3">
        <v>45164</v>
      </c>
      <c r="G432" s="4">
        <v>761</v>
      </c>
      <c r="H432" s="4">
        <v>2</v>
      </c>
      <c r="I432" s="4" t="str">
        <f t="shared" si="6"/>
        <v>Early</v>
      </c>
      <c r="J432" s="2" t="s">
        <v>30</v>
      </c>
      <c r="K432" s="2" t="s">
        <v>57</v>
      </c>
      <c r="L432" s="4">
        <v>1</v>
      </c>
      <c r="M432" s="4">
        <v>489.65</v>
      </c>
      <c r="N432" s="4">
        <v>489.65</v>
      </c>
      <c r="O432" s="2" t="s">
        <v>43</v>
      </c>
      <c r="P432" t="str">
        <f>IF('Cleaned Data'!N432&gt;JOTTING!F445,"High Sales","Low Sales")</f>
        <v>High Sales</v>
      </c>
    </row>
    <row r="433" spans="2:16" ht="15" x14ac:dyDescent="0.25">
      <c r="B433" s="2" t="s">
        <v>478</v>
      </c>
      <c r="C433" s="2" t="s">
        <v>754</v>
      </c>
      <c r="D433" s="7">
        <v>2023</v>
      </c>
      <c r="E433" s="7" t="s">
        <v>768</v>
      </c>
      <c r="F433" s="3">
        <v>45167</v>
      </c>
      <c r="G433" s="4">
        <v>372</v>
      </c>
      <c r="H433" s="4">
        <v>3</v>
      </c>
      <c r="I433" s="4" t="str">
        <f t="shared" si="6"/>
        <v>Standard</v>
      </c>
      <c r="J433" s="2" t="s">
        <v>55</v>
      </c>
      <c r="K433" s="2" t="s">
        <v>49</v>
      </c>
      <c r="L433" s="4">
        <v>4</v>
      </c>
      <c r="M433" s="4">
        <v>95.85</v>
      </c>
      <c r="N433" s="4">
        <v>383.4</v>
      </c>
      <c r="O433" s="2" t="s">
        <v>20</v>
      </c>
      <c r="P433" t="str">
        <f>IF('Cleaned Data'!N433&gt;JOTTING!F446,"High Sales","Low Sales")</f>
        <v>High Sales</v>
      </c>
    </row>
    <row r="434" spans="2:16" ht="15" x14ac:dyDescent="0.25">
      <c r="B434" s="2" t="s">
        <v>479</v>
      </c>
      <c r="C434" s="2" t="s">
        <v>756</v>
      </c>
      <c r="D434" s="7">
        <v>2023</v>
      </c>
      <c r="E434" s="7" t="s">
        <v>760</v>
      </c>
      <c r="F434" s="3">
        <v>45068</v>
      </c>
      <c r="G434" s="4">
        <v>936</v>
      </c>
      <c r="H434" s="4">
        <v>8</v>
      </c>
      <c r="I434" s="4" t="str">
        <f t="shared" si="6"/>
        <v>Slow</v>
      </c>
      <c r="J434" s="2" t="s">
        <v>24</v>
      </c>
      <c r="K434" s="2" t="s">
        <v>25</v>
      </c>
      <c r="L434" s="4">
        <v>3</v>
      </c>
      <c r="M434" s="4">
        <v>53.74</v>
      </c>
      <c r="N434" s="4">
        <v>161.22</v>
      </c>
      <c r="O434" s="2" t="s">
        <v>26</v>
      </c>
      <c r="P434" t="str">
        <f>IF('Cleaned Data'!N434&gt;JOTTING!F447,"High Sales","Low Sales")</f>
        <v>High Sales</v>
      </c>
    </row>
    <row r="435" spans="2:16" ht="15" x14ac:dyDescent="0.25">
      <c r="B435" s="2" t="s">
        <v>480</v>
      </c>
      <c r="C435" s="2" t="s">
        <v>755</v>
      </c>
      <c r="D435" s="7">
        <v>2023</v>
      </c>
      <c r="E435" s="7" t="s">
        <v>762</v>
      </c>
      <c r="F435" s="3">
        <v>45137</v>
      </c>
      <c r="G435" s="4">
        <v>719</v>
      </c>
      <c r="H435" s="4">
        <v>6</v>
      </c>
      <c r="I435" s="4" t="str">
        <f t="shared" si="6"/>
        <v>Standard</v>
      </c>
      <c r="J435" s="2" t="s">
        <v>63</v>
      </c>
      <c r="K435" s="2" t="s">
        <v>57</v>
      </c>
      <c r="L435" s="4">
        <v>2</v>
      </c>
      <c r="M435" s="4">
        <v>245.11</v>
      </c>
      <c r="N435" s="4">
        <v>490.22</v>
      </c>
      <c r="O435" s="2" t="s">
        <v>31</v>
      </c>
      <c r="P435" t="str">
        <f>IF('Cleaned Data'!N435&gt;JOTTING!F448,"High Sales","Low Sales")</f>
        <v>High Sales</v>
      </c>
    </row>
    <row r="436" spans="2:16" ht="15" x14ac:dyDescent="0.25">
      <c r="B436" s="2" t="s">
        <v>481</v>
      </c>
      <c r="C436" s="2" t="s">
        <v>755</v>
      </c>
      <c r="D436" s="7">
        <v>2023</v>
      </c>
      <c r="E436" s="7" t="s">
        <v>765</v>
      </c>
      <c r="F436" s="3">
        <v>45105</v>
      </c>
      <c r="G436" s="4">
        <v>750</v>
      </c>
      <c r="H436" s="4">
        <v>3</v>
      </c>
      <c r="I436" s="4" t="str">
        <f t="shared" si="6"/>
        <v>Standard</v>
      </c>
      <c r="J436" s="2" t="s">
        <v>51</v>
      </c>
      <c r="K436" s="2" t="s">
        <v>25</v>
      </c>
      <c r="L436" s="4">
        <v>3</v>
      </c>
      <c r="M436" s="4">
        <v>91.68</v>
      </c>
      <c r="N436" s="4">
        <v>275.04000000000002</v>
      </c>
      <c r="O436" s="2" t="s">
        <v>43</v>
      </c>
      <c r="P436" t="str">
        <f>IF('Cleaned Data'!N436&gt;JOTTING!F449,"High Sales","Low Sales")</f>
        <v>High Sales</v>
      </c>
    </row>
    <row r="437" spans="2:16" ht="15" x14ac:dyDescent="0.25">
      <c r="B437" s="2" t="s">
        <v>482</v>
      </c>
      <c r="C437" s="2" t="s">
        <v>757</v>
      </c>
      <c r="D437" s="7">
        <v>2023</v>
      </c>
      <c r="E437" s="7" t="s">
        <v>759</v>
      </c>
      <c r="F437" s="3">
        <v>45257</v>
      </c>
      <c r="G437" s="4">
        <v>961</v>
      </c>
      <c r="H437" s="4">
        <v>7</v>
      </c>
      <c r="I437" s="4" t="str">
        <f t="shared" si="6"/>
        <v>Slow</v>
      </c>
      <c r="J437" s="2" t="s">
        <v>24</v>
      </c>
      <c r="K437" s="2" t="s">
        <v>39</v>
      </c>
      <c r="L437" s="4">
        <v>3</v>
      </c>
      <c r="M437" s="4">
        <v>386.77</v>
      </c>
      <c r="N437" s="4">
        <v>1160.31</v>
      </c>
      <c r="O437" s="2" t="s">
        <v>20</v>
      </c>
      <c r="P437" t="str">
        <f>IF('Cleaned Data'!N437&gt;JOTTING!F450,"High Sales","Low Sales")</f>
        <v>High Sales</v>
      </c>
    </row>
    <row r="438" spans="2:16" ht="15" x14ac:dyDescent="0.25">
      <c r="B438" s="2" t="s">
        <v>483</v>
      </c>
      <c r="C438" s="2" t="s">
        <v>754</v>
      </c>
      <c r="D438" s="7">
        <v>2023</v>
      </c>
      <c r="E438" s="7" t="s">
        <v>762</v>
      </c>
      <c r="F438" s="3">
        <v>45124</v>
      </c>
      <c r="G438" s="4">
        <v>882</v>
      </c>
      <c r="H438" s="4">
        <v>4</v>
      </c>
      <c r="I438" s="4" t="str">
        <f t="shared" si="6"/>
        <v>Standard</v>
      </c>
      <c r="J438" s="2" t="s">
        <v>24</v>
      </c>
      <c r="K438" s="2" t="s">
        <v>57</v>
      </c>
      <c r="L438" s="4">
        <v>1</v>
      </c>
      <c r="M438" s="4">
        <v>461.55</v>
      </c>
      <c r="N438" s="4">
        <v>461.55</v>
      </c>
      <c r="O438" s="2" t="s">
        <v>20</v>
      </c>
      <c r="P438" t="str">
        <f>IF('Cleaned Data'!N438&gt;JOTTING!F451,"High Sales","Low Sales")</f>
        <v>High Sales</v>
      </c>
    </row>
    <row r="439" spans="2:16" ht="15" x14ac:dyDescent="0.25">
      <c r="B439" s="2" t="s">
        <v>484</v>
      </c>
      <c r="C439" s="2" t="s">
        <v>756</v>
      </c>
      <c r="D439" s="7">
        <v>2023</v>
      </c>
      <c r="E439" s="7" t="s">
        <v>765</v>
      </c>
      <c r="F439" s="3">
        <v>45096</v>
      </c>
      <c r="G439" s="4">
        <v>958</v>
      </c>
      <c r="H439" s="4">
        <v>9</v>
      </c>
      <c r="I439" s="4" t="str">
        <f t="shared" si="6"/>
        <v>Slow</v>
      </c>
      <c r="J439" s="2" t="s">
        <v>24</v>
      </c>
      <c r="K439" s="2" t="s">
        <v>25</v>
      </c>
      <c r="L439" s="4">
        <v>4</v>
      </c>
      <c r="M439" s="4">
        <v>245.31</v>
      </c>
      <c r="N439" s="4">
        <v>981.24</v>
      </c>
      <c r="O439" s="2" t="s">
        <v>43</v>
      </c>
      <c r="P439" t="str">
        <f>IF('Cleaned Data'!N439&gt;JOTTING!F452,"High Sales","Low Sales")</f>
        <v>High Sales</v>
      </c>
    </row>
    <row r="440" spans="2:16" ht="15" x14ac:dyDescent="0.25">
      <c r="B440" s="2" t="s">
        <v>485</v>
      </c>
      <c r="C440" s="2" t="s">
        <v>754</v>
      </c>
      <c r="D440" s="7">
        <v>2023</v>
      </c>
      <c r="E440" s="7" t="s">
        <v>765</v>
      </c>
      <c r="F440" s="3">
        <v>45079</v>
      </c>
      <c r="G440" s="4">
        <v>388</v>
      </c>
      <c r="H440" s="4">
        <v>5</v>
      </c>
      <c r="I440" s="4" t="str">
        <f t="shared" si="6"/>
        <v>Standard</v>
      </c>
      <c r="J440" s="2" t="s">
        <v>42</v>
      </c>
      <c r="K440" s="2" t="s">
        <v>39</v>
      </c>
      <c r="L440" s="4">
        <v>1</v>
      </c>
      <c r="M440" s="4">
        <v>166.42</v>
      </c>
      <c r="N440" s="4">
        <v>166.42</v>
      </c>
      <c r="O440" s="2" t="s">
        <v>26</v>
      </c>
      <c r="P440" t="str">
        <f>IF('Cleaned Data'!N440&gt;JOTTING!F453,"High Sales","Low Sales")</f>
        <v>High Sales</v>
      </c>
    </row>
    <row r="441" spans="2:16" ht="15" x14ac:dyDescent="0.25">
      <c r="B441" s="2" t="s">
        <v>486</v>
      </c>
      <c r="C441" s="2" t="s">
        <v>755</v>
      </c>
      <c r="D441" s="7">
        <v>2023</v>
      </c>
      <c r="E441" s="7" t="s">
        <v>762</v>
      </c>
      <c r="F441" s="3">
        <v>45138</v>
      </c>
      <c r="G441" s="4">
        <v>823</v>
      </c>
      <c r="H441" s="4">
        <v>3</v>
      </c>
      <c r="I441" s="4" t="str">
        <f t="shared" si="6"/>
        <v>Standard</v>
      </c>
      <c r="J441" s="2" t="s">
        <v>24</v>
      </c>
      <c r="K441" s="2" t="s">
        <v>39</v>
      </c>
      <c r="L441" s="4">
        <v>1</v>
      </c>
      <c r="M441" s="4">
        <v>245.48</v>
      </c>
      <c r="N441" s="4">
        <v>245.48</v>
      </c>
      <c r="O441" s="2" t="s">
        <v>31</v>
      </c>
      <c r="P441" t="str">
        <f>IF('Cleaned Data'!N441&gt;JOTTING!F454,"High Sales","Low Sales")</f>
        <v>High Sales</v>
      </c>
    </row>
    <row r="442" spans="2:16" ht="15" x14ac:dyDescent="0.25">
      <c r="B442" s="2" t="s">
        <v>487</v>
      </c>
      <c r="C442" s="2" t="s">
        <v>755</v>
      </c>
      <c r="D442" s="7">
        <v>2023</v>
      </c>
      <c r="E442" s="7" t="s">
        <v>770</v>
      </c>
      <c r="F442" s="3">
        <v>45222</v>
      </c>
      <c r="G442" s="4">
        <v>992</v>
      </c>
      <c r="H442" s="4">
        <v>2</v>
      </c>
      <c r="I442" s="4" t="str">
        <f t="shared" si="6"/>
        <v>Early</v>
      </c>
      <c r="J442" s="2" t="s">
        <v>24</v>
      </c>
      <c r="K442" s="2" t="s">
        <v>49</v>
      </c>
      <c r="L442" s="4">
        <v>1</v>
      </c>
      <c r="M442" s="4">
        <v>375.55</v>
      </c>
      <c r="N442" s="4">
        <v>375.55</v>
      </c>
      <c r="O442" s="2" t="s">
        <v>31</v>
      </c>
      <c r="P442" t="str">
        <f>IF('Cleaned Data'!N442&gt;JOTTING!F455,"High Sales","Low Sales")</f>
        <v>High Sales</v>
      </c>
    </row>
    <row r="443" spans="2:16" ht="15" x14ac:dyDescent="0.25">
      <c r="B443" s="2" t="s">
        <v>488</v>
      </c>
      <c r="C443" s="2" t="s">
        <v>755</v>
      </c>
      <c r="D443" s="7">
        <v>2023</v>
      </c>
      <c r="E443" s="7" t="s">
        <v>762</v>
      </c>
      <c r="F443" s="3">
        <v>45125</v>
      </c>
      <c r="G443" s="4">
        <v>371</v>
      </c>
      <c r="H443" s="4">
        <v>2</v>
      </c>
      <c r="I443" s="4" t="str">
        <f t="shared" si="6"/>
        <v>Early</v>
      </c>
      <c r="J443" s="2" t="s">
        <v>55</v>
      </c>
      <c r="K443" s="2" t="s">
        <v>25</v>
      </c>
      <c r="L443" s="4">
        <v>3</v>
      </c>
      <c r="M443" s="4">
        <v>54.07</v>
      </c>
      <c r="N443" s="4">
        <v>162.21</v>
      </c>
      <c r="O443" s="2" t="s">
        <v>43</v>
      </c>
      <c r="P443" t="str">
        <f>IF('Cleaned Data'!N443&gt;JOTTING!F456,"High Sales","Low Sales")</f>
        <v>High Sales</v>
      </c>
    </row>
    <row r="444" spans="2:16" ht="15" x14ac:dyDescent="0.25">
      <c r="B444" s="2" t="s">
        <v>489</v>
      </c>
      <c r="C444" s="2" t="s">
        <v>757</v>
      </c>
      <c r="D444" s="7">
        <v>2023</v>
      </c>
      <c r="E444" s="7" t="s">
        <v>766</v>
      </c>
      <c r="F444" s="3">
        <v>45171</v>
      </c>
      <c r="G444" s="4">
        <v>165</v>
      </c>
      <c r="H444" s="4">
        <v>3</v>
      </c>
      <c r="I444" s="4" t="str">
        <f t="shared" si="6"/>
        <v>Standard</v>
      </c>
      <c r="J444" s="2" t="s">
        <v>30</v>
      </c>
      <c r="K444" s="2" t="s">
        <v>39</v>
      </c>
      <c r="L444" s="4">
        <v>1</v>
      </c>
      <c r="M444" s="4">
        <v>315.25</v>
      </c>
      <c r="N444" s="4">
        <v>315.25</v>
      </c>
      <c r="O444" s="2" t="s">
        <v>31</v>
      </c>
      <c r="P444" t="str">
        <f>IF('Cleaned Data'!N444&gt;JOTTING!F457,"High Sales","Low Sales")</f>
        <v>High Sales</v>
      </c>
    </row>
    <row r="445" spans="2:16" ht="15" x14ac:dyDescent="0.25">
      <c r="B445" s="2" t="s">
        <v>490</v>
      </c>
      <c r="C445" s="2" t="s">
        <v>756</v>
      </c>
      <c r="D445" s="7">
        <v>2023</v>
      </c>
      <c r="E445" s="7" t="s">
        <v>766</v>
      </c>
      <c r="F445" s="3">
        <v>45198</v>
      </c>
      <c r="G445" s="4">
        <v>582</v>
      </c>
      <c r="H445" s="4">
        <v>2</v>
      </c>
      <c r="I445" s="4" t="str">
        <f t="shared" si="6"/>
        <v>Early</v>
      </c>
      <c r="J445" s="2" t="s">
        <v>42</v>
      </c>
      <c r="K445" s="2" t="s">
        <v>49</v>
      </c>
      <c r="L445" s="4">
        <v>1</v>
      </c>
      <c r="M445" s="4">
        <v>325.98</v>
      </c>
      <c r="N445" s="4">
        <v>325.98</v>
      </c>
      <c r="O445" s="2" t="s">
        <v>31</v>
      </c>
      <c r="P445" t="str">
        <f>IF('Cleaned Data'!N445&gt;JOTTING!F458,"High Sales","Low Sales")</f>
        <v>High Sales</v>
      </c>
    </row>
    <row r="446" spans="2:16" ht="15" x14ac:dyDescent="0.25">
      <c r="B446" s="2" t="s">
        <v>491</v>
      </c>
      <c r="C446" s="2" t="s">
        <v>753</v>
      </c>
      <c r="D446" s="7">
        <v>2023</v>
      </c>
      <c r="E446" s="7" t="s">
        <v>762</v>
      </c>
      <c r="F446" s="3">
        <v>45120</v>
      </c>
      <c r="G446" s="4">
        <v>347</v>
      </c>
      <c r="H446" s="4">
        <v>4</v>
      </c>
      <c r="I446" s="4" t="str">
        <f t="shared" si="6"/>
        <v>Standard</v>
      </c>
      <c r="J446" s="2" t="s">
        <v>18</v>
      </c>
      <c r="K446" s="2" t="s">
        <v>57</v>
      </c>
      <c r="L446" s="4">
        <v>4</v>
      </c>
      <c r="M446" s="4">
        <v>336.96</v>
      </c>
      <c r="N446" s="4">
        <v>1347.84</v>
      </c>
      <c r="O446" s="2" t="s">
        <v>26</v>
      </c>
      <c r="P446" t="str">
        <f>IF('Cleaned Data'!N446&gt;JOTTING!F459,"High Sales","Low Sales")</f>
        <v>High Sales</v>
      </c>
    </row>
    <row r="447" spans="2:16" ht="15" x14ac:dyDescent="0.25">
      <c r="B447" s="2" t="s">
        <v>492</v>
      </c>
      <c r="C447" s="2" t="s">
        <v>757</v>
      </c>
      <c r="D447" s="7">
        <v>2023</v>
      </c>
      <c r="E447" s="7" t="s">
        <v>765</v>
      </c>
      <c r="F447" s="3">
        <v>45084</v>
      </c>
      <c r="G447" s="4">
        <v>255</v>
      </c>
      <c r="H447" s="4">
        <v>2</v>
      </c>
      <c r="I447" s="4" t="str">
        <f t="shared" si="6"/>
        <v>Early</v>
      </c>
      <c r="J447" s="2" t="s">
        <v>51</v>
      </c>
      <c r="K447" s="2" t="s">
        <v>25</v>
      </c>
      <c r="L447" s="4">
        <v>4</v>
      </c>
      <c r="M447" s="4">
        <v>158.91</v>
      </c>
      <c r="N447" s="4">
        <v>635.64</v>
      </c>
      <c r="O447" s="2" t="s">
        <v>43</v>
      </c>
      <c r="P447" t="str">
        <f>IF('Cleaned Data'!N447&gt;JOTTING!F460,"High Sales","Low Sales")</f>
        <v>High Sales</v>
      </c>
    </row>
    <row r="448" spans="2:16" ht="15" x14ac:dyDescent="0.25">
      <c r="B448" s="2" t="s">
        <v>493</v>
      </c>
      <c r="C448" s="2" t="s">
        <v>757</v>
      </c>
      <c r="D448" s="7">
        <v>2023</v>
      </c>
      <c r="E448" s="7" t="s">
        <v>759</v>
      </c>
      <c r="F448" s="3">
        <v>45255</v>
      </c>
      <c r="G448" s="4">
        <v>146</v>
      </c>
      <c r="H448" s="4">
        <v>9</v>
      </c>
      <c r="I448" s="4" t="str">
        <f t="shared" si="6"/>
        <v>Slow</v>
      </c>
      <c r="J448" s="2" t="s">
        <v>30</v>
      </c>
      <c r="K448" s="2" t="s">
        <v>19</v>
      </c>
      <c r="L448" s="4">
        <v>1</v>
      </c>
      <c r="M448" s="4">
        <v>371.32</v>
      </c>
      <c r="N448" s="4">
        <v>371.32</v>
      </c>
      <c r="O448" s="2" t="s">
        <v>26</v>
      </c>
      <c r="P448" t="str">
        <f>IF('Cleaned Data'!N448&gt;JOTTING!F461,"High Sales","Low Sales")</f>
        <v>High Sales</v>
      </c>
    </row>
    <row r="449" spans="2:16" ht="15" x14ac:dyDescent="0.25">
      <c r="B449" s="2" t="s">
        <v>494</v>
      </c>
      <c r="C449" s="2" t="s">
        <v>757</v>
      </c>
      <c r="D449" s="7">
        <v>2023</v>
      </c>
      <c r="E449" s="7" t="s">
        <v>765</v>
      </c>
      <c r="F449" s="3">
        <v>45081</v>
      </c>
      <c r="G449" s="4">
        <v>553</v>
      </c>
      <c r="H449" s="4">
        <v>2</v>
      </c>
      <c r="I449" s="4" t="str">
        <f t="shared" si="6"/>
        <v>Early</v>
      </c>
      <c r="J449" s="2" t="s">
        <v>63</v>
      </c>
      <c r="K449" s="2" t="s">
        <v>39</v>
      </c>
      <c r="L449" s="4">
        <v>4</v>
      </c>
      <c r="M449" s="4">
        <v>91.13</v>
      </c>
      <c r="N449" s="4">
        <v>364.52</v>
      </c>
      <c r="O449" s="2" t="s">
        <v>31</v>
      </c>
      <c r="P449" t="str">
        <f>IF('Cleaned Data'!N449&gt;JOTTING!F462,"High Sales","Low Sales")</f>
        <v>High Sales</v>
      </c>
    </row>
    <row r="450" spans="2:16" ht="15" x14ac:dyDescent="0.25">
      <c r="B450" s="2" t="s">
        <v>495</v>
      </c>
      <c r="C450" s="2" t="s">
        <v>755</v>
      </c>
      <c r="D450" s="7">
        <v>2023</v>
      </c>
      <c r="E450" s="7" t="s">
        <v>765</v>
      </c>
      <c r="F450" s="3">
        <v>45104</v>
      </c>
      <c r="G450" s="4">
        <v>300</v>
      </c>
      <c r="H450" s="4">
        <v>9</v>
      </c>
      <c r="I450" s="4" t="str">
        <f t="shared" si="6"/>
        <v>Slow</v>
      </c>
      <c r="J450" s="2" t="s">
        <v>55</v>
      </c>
      <c r="K450" s="2" t="s">
        <v>57</v>
      </c>
      <c r="L450" s="4">
        <v>4</v>
      </c>
      <c r="M450" s="4">
        <v>139.66999999999999</v>
      </c>
      <c r="N450" s="4">
        <v>558.67999999999995</v>
      </c>
      <c r="O450" s="2" t="s">
        <v>20</v>
      </c>
      <c r="P450" t="str">
        <f>IF('Cleaned Data'!N450&gt;JOTTING!F463,"High Sales","Low Sales")</f>
        <v>High Sales</v>
      </c>
    </row>
    <row r="451" spans="2:16" ht="15" x14ac:dyDescent="0.25">
      <c r="B451" s="2" t="s">
        <v>496</v>
      </c>
      <c r="C451" s="2" t="s">
        <v>754</v>
      </c>
      <c r="D451" s="7">
        <v>2024</v>
      </c>
      <c r="E451" s="7" t="s">
        <v>761</v>
      </c>
      <c r="F451" s="3">
        <v>45294</v>
      </c>
      <c r="G451" s="4">
        <v>759</v>
      </c>
      <c r="H451" s="4">
        <v>6</v>
      </c>
      <c r="I451" s="4" t="str">
        <f t="shared" ref="I451:I514" si="7">_xlfn.IFS(H451&lt;3,"Early",H451&lt;=6,"Standard",H451&lt;=9,"Slow")</f>
        <v>Standard</v>
      </c>
      <c r="J451" s="2" t="s">
        <v>51</v>
      </c>
      <c r="K451" s="2" t="s">
        <v>25</v>
      </c>
      <c r="L451" s="4">
        <v>1</v>
      </c>
      <c r="M451" s="4">
        <v>444.86</v>
      </c>
      <c r="N451" s="4">
        <v>444.86</v>
      </c>
      <c r="O451" s="2" t="s">
        <v>26</v>
      </c>
      <c r="P451" t="str">
        <f>IF('Cleaned Data'!N451&gt;JOTTING!F464,"High Sales","Low Sales")</f>
        <v>High Sales</v>
      </c>
    </row>
    <row r="452" spans="2:16" ht="15" x14ac:dyDescent="0.25">
      <c r="B452" s="2" t="s">
        <v>497</v>
      </c>
      <c r="C452" s="2" t="s">
        <v>755</v>
      </c>
      <c r="D452" s="7">
        <v>2023</v>
      </c>
      <c r="E452" s="7" t="s">
        <v>761</v>
      </c>
      <c r="F452" s="3">
        <v>44928</v>
      </c>
      <c r="G452" s="4">
        <v>223</v>
      </c>
      <c r="H452" s="4">
        <v>1</v>
      </c>
      <c r="I452" s="4" t="str">
        <f t="shared" si="7"/>
        <v>Early</v>
      </c>
      <c r="J452" s="2" t="s">
        <v>24</v>
      </c>
      <c r="K452" s="2" t="s">
        <v>49</v>
      </c>
      <c r="L452" s="4">
        <v>3</v>
      </c>
      <c r="M452" s="4">
        <v>382.43</v>
      </c>
      <c r="N452" s="4">
        <v>1147.29</v>
      </c>
      <c r="O452" s="2" t="s">
        <v>26</v>
      </c>
      <c r="P452" t="str">
        <f>IF('Cleaned Data'!N452&gt;JOTTING!F465,"High Sales","Low Sales")</f>
        <v>High Sales</v>
      </c>
    </row>
    <row r="453" spans="2:16" ht="15" x14ac:dyDescent="0.25">
      <c r="B453" s="2" t="s">
        <v>498</v>
      </c>
      <c r="C453" s="2" t="s">
        <v>755</v>
      </c>
      <c r="D453" s="7">
        <v>2023</v>
      </c>
      <c r="E453" s="7" t="s">
        <v>767</v>
      </c>
      <c r="F453" s="3">
        <v>44998</v>
      </c>
      <c r="G453" s="4">
        <v>100</v>
      </c>
      <c r="H453" s="4">
        <v>4</v>
      </c>
      <c r="I453" s="4" t="str">
        <f t="shared" si="7"/>
        <v>Standard</v>
      </c>
      <c r="J453" s="2" t="s">
        <v>24</v>
      </c>
      <c r="K453" s="2" t="s">
        <v>57</v>
      </c>
      <c r="L453" s="4">
        <v>1</v>
      </c>
      <c r="M453" s="4">
        <v>56.19</v>
      </c>
      <c r="N453" s="4">
        <v>56.19</v>
      </c>
      <c r="O453" s="2" t="s">
        <v>26</v>
      </c>
      <c r="P453" t="str">
        <f>IF('Cleaned Data'!N453&gt;JOTTING!F466,"High Sales","Low Sales")</f>
        <v>High Sales</v>
      </c>
    </row>
    <row r="454" spans="2:16" ht="15" x14ac:dyDescent="0.25">
      <c r="B454" s="2" t="s">
        <v>499</v>
      </c>
      <c r="C454" s="2" t="s">
        <v>757</v>
      </c>
      <c r="D454" s="7">
        <v>2023</v>
      </c>
      <c r="E454" s="7" t="s">
        <v>760</v>
      </c>
      <c r="F454" s="3">
        <v>45068</v>
      </c>
      <c r="G454" s="4">
        <v>858</v>
      </c>
      <c r="H454" s="4">
        <v>1</v>
      </c>
      <c r="I454" s="4" t="str">
        <f t="shared" si="7"/>
        <v>Early</v>
      </c>
      <c r="J454" s="2" t="s">
        <v>24</v>
      </c>
      <c r="K454" s="2" t="s">
        <v>39</v>
      </c>
      <c r="L454" s="4">
        <v>4</v>
      </c>
      <c r="M454" s="4">
        <v>161.77000000000001</v>
      </c>
      <c r="N454" s="4">
        <v>647.08000000000004</v>
      </c>
      <c r="O454" s="2" t="s">
        <v>31</v>
      </c>
      <c r="P454" t="str">
        <f>IF('Cleaned Data'!N454&gt;JOTTING!F467,"High Sales","Low Sales")</f>
        <v>High Sales</v>
      </c>
    </row>
    <row r="455" spans="2:16" ht="15" x14ac:dyDescent="0.25">
      <c r="B455" s="2" t="s">
        <v>500</v>
      </c>
      <c r="C455" s="2" t="s">
        <v>755</v>
      </c>
      <c r="D455" s="7">
        <v>2023</v>
      </c>
      <c r="E455" s="7" t="s">
        <v>763</v>
      </c>
      <c r="F455" s="3">
        <v>45273</v>
      </c>
      <c r="G455" s="4">
        <v>954</v>
      </c>
      <c r="H455" s="4">
        <v>6</v>
      </c>
      <c r="I455" s="4" t="str">
        <f t="shared" si="7"/>
        <v>Standard</v>
      </c>
      <c r="J455" s="2" t="s">
        <v>51</v>
      </c>
      <c r="K455" s="2" t="s">
        <v>49</v>
      </c>
      <c r="L455" s="4">
        <v>3</v>
      </c>
      <c r="M455" s="4">
        <v>146.47999999999999</v>
      </c>
      <c r="N455" s="4">
        <v>439.44</v>
      </c>
      <c r="O455" s="2" t="s">
        <v>31</v>
      </c>
      <c r="P455" t="str">
        <f>IF('Cleaned Data'!N455&gt;JOTTING!F468,"High Sales","Low Sales")</f>
        <v>High Sales</v>
      </c>
    </row>
    <row r="456" spans="2:16" ht="15" x14ac:dyDescent="0.25">
      <c r="B456" s="2" t="s">
        <v>501</v>
      </c>
      <c r="C456" s="2" t="s">
        <v>753</v>
      </c>
      <c r="D456" s="7">
        <v>2023</v>
      </c>
      <c r="E456" s="7" t="s">
        <v>761</v>
      </c>
      <c r="F456" s="3">
        <v>44956</v>
      </c>
      <c r="G456" s="4">
        <v>739</v>
      </c>
      <c r="H456" s="4">
        <v>4</v>
      </c>
      <c r="I456" s="4" t="str">
        <f t="shared" si="7"/>
        <v>Standard</v>
      </c>
      <c r="J456" s="2" t="s">
        <v>24</v>
      </c>
      <c r="K456" s="2" t="s">
        <v>25</v>
      </c>
      <c r="L456" s="4">
        <v>2</v>
      </c>
      <c r="M456" s="4">
        <v>171.86</v>
      </c>
      <c r="N456" s="4">
        <v>343.72</v>
      </c>
      <c r="O456" s="2" t="s">
        <v>43</v>
      </c>
      <c r="P456" t="str">
        <f>IF('Cleaned Data'!N456&gt;JOTTING!F469,"High Sales","Low Sales")</f>
        <v>High Sales</v>
      </c>
    </row>
    <row r="457" spans="2:16" ht="15" x14ac:dyDescent="0.25">
      <c r="B457" s="2" t="s">
        <v>502</v>
      </c>
      <c r="C457" s="2" t="s">
        <v>757</v>
      </c>
      <c r="D457" s="7">
        <v>2023</v>
      </c>
      <c r="E457" s="7" t="s">
        <v>761</v>
      </c>
      <c r="F457" s="3">
        <v>44933</v>
      </c>
      <c r="G457" s="4">
        <v>290</v>
      </c>
      <c r="H457" s="4">
        <v>3</v>
      </c>
      <c r="I457" s="4" t="str">
        <f t="shared" si="7"/>
        <v>Standard</v>
      </c>
      <c r="J457" s="2" t="s">
        <v>30</v>
      </c>
      <c r="K457" s="2" t="s">
        <v>25</v>
      </c>
      <c r="L457" s="4">
        <v>3</v>
      </c>
      <c r="M457" s="4">
        <v>161.4</v>
      </c>
      <c r="N457" s="4">
        <v>484.2</v>
      </c>
      <c r="O457" s="2" t="s">
        <v>43</v>
      </c>
      <c r="P457" t="str">
        <f>IF('Cleaned Data'!N457&gt;JOTTING!F470,"High Sales","Low Sales")</f>
        <v>High Sales</v>
      </c>
    </row>
    <row r="458" spans="2:16" ht="15" x14ac:dyDescent="0.25">
      <c r="B458" s="2" t="s">
        <v>503</v>
      </c>
      <c r="C458" s="2" t="s">
        <v>755</v>
      </c>
      <c r="D458" s="7">
        <v>2023</v>
      </c>
      <c r="E458" s="7" t="s">
        <v>761</v>
      </c>
      <c r="F458" s="3">
        <v>44949</v>
      </c>
      <c r="G458" s="4">
        <v>678</v>
      </c>
      <c r="H458" s="4">
        <v>3</v>
      </c>
      <c r="I458" s="4" t="str">
        <f t="shared" si="7"/>
        <v>Standard</v>
      </c>
      <c r="J458" s="2" t="s">
        <v>24</v>
      </c>
      <c r="K458" s="2" t="s">
        <v>19</v>
      </c>
      <c r="L458" s="4">
        <v>4</v>
      </c>
      <c r="M458" s="4">
        <v>78.14</v>
      </c>
      <c r="N458" s="4">
        <v>312.56</v>
      </c>
      <c r="O458" s="2" t="s">
        <v>43</v>
      </c>
      <c r="P458" t="str">
        <f>IF('Cleaned Data'!N458&gt;JOTTING!F471,"High Sales","Low Sales")</f>
        <v>High Sales</v>
      </c>
    </row>
    <row r="459" spans="2:16" ht="15" x14ac:dyDescent="0.25">
      <c r="B459" s="2" t="s">
        <v>504</v>
      </c>
      <c r="C459" s="2" t="s">
        <v>754</v>
      </c>
      <c r="D459" s="7">
        <v>2023</v>
      </c>
      <c r="E459" s="7" t="s">
        <v>764</v>
      </c>
      <c r="F459" s="3">
        <v>44968</v>
      </c>
      <c r="G459" s="4">
        <v>615</v>
      </c>
      <c r="H459" s="4">
        <v>9</v>
      </c>
      <c r="I459" s="4" t="str">
        <f t="shared" si="7"/>
        <v>Slow</v>
      </c>
      <c r="J459" s="2" t="s">
        <v>30</v>
      </c>
      <c r="K459" s="2" t="s">
        <v>25</v>
      </c>
      <c r="L459" s="4">
        <v>3</v>
      </c>
      <c r="M459" s="4">
        <v>256.52</v>
      </c>
      <c r="N459" s="4">
        <v>769.56</v>
      </c>
      <c r="O459" s="2" t="s">
        <v>43</v>
      </c>
      <c r="P459" t="str">
        <f>IF('Cleaned Data'!N459&gt;JOTTING!F472,"High Sales","Low Sales")</f>
        <v>High Sales</v>
      </c>
    </row>
    <row r="460" spans="2:16" ht="15" x14ac:dyDescent="0.25">
      <c r="B460" s="2" t="s">
        <v>505</v>
      </c>
      <c r="C460" s="2" t="s">
        <v>755</v>
      </c>
      <c r="D460" s="7">
        <v>2023</v>
      </c>
      <c r="E460" s="7" t="s">
        <v>761</v>
      </c>
      <c r="F460" s="3">
        <v>44946</v>
      </c>
      <c r="G460" s="4">
        <v>541</v>
      </c>
      <c r="H460" s="4">
        <v>6</v>
      </c>
      <c r="I460" s="4" t="str">
        <f t="shared" si="7"/>
        <v>Standard</v>
      </c>
      <c r="J460" s="2" t="s">
        <v>42</v>
      </c>
      <c r="K460" s="2" t="s">
        <v>19</v>
      </c>
      <c r="L460" s="4">
        <v>1</v>
      </c>
      <c r="M460" s="4">
        <v>379.73</v>
      </c>
      <c r="N460" s="4">
        <v>379.73</v>
      </c>
      <c r="O460" s="2" t="s">
        <v>20</v>
      </c>
      <c r="P460" t="str">
        <f>IF('Cleaned Data'!N460&gt;JOTTING!F473,"High Sales","Low Sales")</f>
        <v>High Sales</v>
      </c>
    </row>
    <row r="461" spans="2:16" ht="15" x14ac:dyDescent="0.25">
      <c r="B461" s="2" t="s">
        <v>506</v>
      </c>
      <c r="C461" s="2" t="s">
        <v>756</v>
      </c>
      <c r="D461" s="7">
        <v>2023</v>
      </c>
      <c r="E461" s="7" t="s">
        <v>762</v>
      </c>
      <c r="F461" s="3">
        <v>45111</v>
      </c>
      <c r="G461" s="4">
        <v>914</v>
      </c>
      <c r="H461" s="4">
        <v>9</v>
      </c>
      <c r="I461" s="4" t="str">
        <f t="shared" si="7"/>
        <v>Slow</v>
      </c>
      <c r="J461" s="2" t="s">
        <v>55</v>
      </c>
      <c r="K461" s="2" t="s">
        <v>49</v>
      </c>
      <c r="L461" s="4">
        <v>2</v>
      </c>
      <c r="M461" s="4">
        <v>323.02999999999997</v>
      </c>
      <c r="N461" s="4">
        <v>646.05999999999995</v>
      </c>
      <c r="O461" s="2" t="s">
        <v>43</v>
      </c>
      <c r="P461" t="str">
        <f>IF('Cleaned Data'!N461&gt;JOTTING!F474,"High Sales","Low Sales")</f>
        <v>High Sales</v>
      </c>
    </row>
    <row r="462" spans="2:16" ht="15" x14ac:dyDescent="0.25">
      <c r="B462" s="2" t="s">
        <v>507</v>
      </c>
      <c r="C462" s="2" t="s">
        <v>754</v>
      </c>
      <c r="D462" s="7">
        <v>2023</v>
      </c>
      <c r="E462" s="7" t="s">
        <v>768</v>
      </c>
      <c r="F462" s="3">
        <v>45143</v>
      </c>
      <c r="G462" s="4">
        <v>905</v>
      </c>
      <c r="H462" s="4">
        <v>5</v>
      </c>
      <c r="I462" s="4" t="str">
        <f t="shared" si="7"/>
        <v>Standard</v>
      </c>
      <c r="J462" s="2" t="s">
        <v>30</v>
      </c>
      <c r="K462" s="2" t="s">
        <v>19</v>
      </c>
      <c r="L462" s="4">
        <v>2</v>
      </c>
      <c r="M462" s="4">
        <v>352.79</v>
      </c>
      <c r="N462" s="4">
        <v>705.58</v>
      </c>
      <c r="O462" s="2" t="s">
        <v>43</v>
      </c>
      <c r="P462" t="str">
        <f>IF('Cleaned Data'!N462&gt;JOTTING!F475,"High Sales","Low Sales")</f>
        <v>High Sales</v>
      </c>
    </row>
    <row r="463" spans="2:16" ht="15" x14ac:dyDescent="0.25">
      <c r="B463" s="2" t="s">
        <v>508</v>
      </c>
      <c r="C463" s="2" t="s">
        <v>756</v>
      </c>
      <c r="D463" s="7">
        <v>2023</v>
      </c>
      <c r="E463" s="7" t="s">
        <v>769</v>
      </c>
      <c r="F463" s="3">
        <v>45028</v>
      </c>
      <c r="G463" s="4">
        <v>242</v>
      </c>
      <c r="H463" s="4">
        <v>2</v>
      </c>
      <c r="I463" s="4" t="str">
        <f t="shared" si="7"/>
        <v>Early</v>
      </c>
      <c r="J463" s="2" t="s">
        <v>51</v>
      </c>
      <c r="K463" s="2" t="s">
        <v>49</v>
      </c>
      <c r="L463" s="4">
        <v>2</v>
      </c>
      <c r="M463" s="4">
        <v>86.52</v>
      </c>
      <c r="N463" s="4">
        <v>173.04</v>
      </c>
      <c r="O463" s="2" t="s">
        <v>43</v>
      </c>
      <c r="P463" t="str">
        <f>IF('Cleaned Data'!N463&gt;JOTTING!F476,"High Sales","Low Sales")</f>
        <v>High Sales</v>
      </c>
    </row>
    <row r="464" spans="2:16" ht="15" x14ac:dyDescent="0.25">
      <c r="B464" s="2" t="s">
        <v>509</v>
      </c>
      <c r="C464" s="2" t="s">
        <v>755</v>
      </c>
      <c r="D464" s="7">
        <v>2023</v>
      </c>
      <c r="E464" s="7" t="s">
        <v>765</v>
      </c>
      <c r="F464" s="3">
        <v>45080</v>
      </c>
      <c r="G464" s="4">
        <v>290</v>
      </c>
      <c r="H464" s="4">
        <v>8</v>
      </c>
      <c r="I464" s="4" t="str">
        <f t="shared" si="7"/>
        <v>Slow</v>
      </c>
      <c r="J464" s="2" t="s">
        <v>30</v>
      </c>
      <c r="K464" s="2" t="s">
        <v>57</v>
      </c>
      <c r="L464" s="4">
        <v>4</v>
      </c>
      <c r="M464" s="4">
        <v>478.17</v>
      </c>
      <c r="N464" s="4">
        <v>1912.68</v>
      </c>
      <c r="O464" s="2" t="s">
        <v>26</v>
      </c>
      <c r="P464" t="str">
        <f>IF('Cleaned Data'!N464&gt;JOTTING!F477,"High Sales","Low Sales")</f>
        <v>High Sales</v>
      </c>
    </row>
    <row r="465" spans="2:16" ht="15" x14ac:dyDescent="0.25">
      <c r="B465" s="2" t="s">
        <v>510</v>
      </c>
      <c r="C465" s="2" t="s">
        <v>756</v>
      </c>
      <c r="D465" s="7">
        <v>2023</v>
      </c>
      <c r="E465" s="7" t="s">
        <v>764</v>
      </c>
      <c r="F465" s="3">
        <v>44965</v>
      </c>
      <c r="G465" s="4">
        <v>632</v>
      </c>
      <c r="H465" s="4">
        <v>5</v>
      </c>
      <c r="I465" s="4" t="str">
        <f t="shared" si="7"/>
        <v>Standard</v>
      </c>
      <c r="J465" s="2" t="s">
        <v>51</v>
      </c>
      <c r="K465" s="2" t="s">
        <v>49</v>
      </c>
      <c r="L465" s="4">
        <v>4</v>
      </c>
      <c r="M465" s="4">
        <v>427.32</v>
      </c>
      <c r="N465" s="4">
        <v>1709.28</v>
      </c>
      <c r="O465" s="2" t="s">
        <v>31</v>
      </c>
      <c r="P465" t="str">
        <f>IF('Cleaned Data'!N465&gt;JOTTING!F478,"High Sales","Low Sales")</f>
        <v>High Sales</v>
      </c>
    </row>
    <row r="466" spans="2:16" ht="15" x14ac:dyDescent="0.25">
      <c r="B466" s="2" t="s">
        <v>511</v>
      </c>
      <c r="C466" s="2" t="s">
        <v>753</v>
      </c>
      <c r="D466" s="7">
        <v>2023</v>
      </c>
      <c r="E466" s="7" t="s">
        <v>760</v>
      </c>
      <c r="F466" s="3">
        <v>45051</v>
      </c>
      <c r="G466" s="4">
        <v>326</v>
      </c>
      <c r="H466" s="4">
        <v>2</v>
      </c>
      <c r="I466" s="4" t="str">
        <f t="shared" si="7"/>
        <v>Early</v>
      </c>
      <c r="J466" s="2" t="s">
        <v>42</v>
      </c>
      <c r="K466" s="2" t="s">
        <v>39</v>
      </c>
      <c r="L466" s="4">
        <v>2</v>
      </c>
      <c r="M466" s="4">
        <v>412.29</v>
      </c>
      <c r="N466" s="4">
        <v>824.58</v>
      </c>
      <c r="O466" s="2" t="s">
        <v>26</v>
      </c>
      <c r="P466" t="str">
        <f>IF('Cleaned Data'!N466&gt;JOTTING!F479,"High Sales","Low Sales")</f>
        <v>High Sales</v>
      </c>
    </row>
    <row r="467" spans="2:16" ht="15" x14ac:dyDescent="0.25">
      <c r="B467" s="2" t="s">
        <v>512</v>
      </c>
      <c r="C467" s="2" t="s">
        <v>756</v>
      </c>
      <c r="D467" s="7">
        <v>2023</v>
      </c>
      <c r="E467" s="7" t="s">
        <v>762</v>
      </c>
      <c r="F467" s="3">
        <v>45121</v>
      </c>
      <c r="G467" s="4">
        <v>412</v>
      </c>
      <c r="H467" s="4">
        <v>4</v>
      </c>
      <c r="I467" s="4" t="str">
        <f t="shared" si="7"/>
        <v>Standard</v>
      </c>
      <c r="J467" s="2" t="s">
        <v>42</v>
      </c>
      <c r="K467" s="2" t="s">
        <v>25</v>
      </c>
      <c r="L467" s="4">
        <v>3</v>
      </c>
      <c r="M467" s="4">
        <v>420.34</v>
      </c>
      <c r="N467" s="4">
        <v>1261.02</v>
      </c>
      <c r="O467" s="2" t="s">
        <v>20</v>
      </c>
      <c r="P467" t="str">
        <f>IF('Cleaned Data'!N467&gt;JOTTING!F480,"High Sales","Low Sales")</f>
        <v>High Sales</v>
      </c>
    </row>
    <row r="468" spans="2:16" ht="15" x14ac:dyDescent="0.25">
      <c r="B468" s="2" t="s">
        <v>513</v>
      </c>
      <c r="C468" s="2" t="s">
        <v>757</v>
      </c>
      <c r="D468" s="7">
        <v>2023</v>
      </c>
      <c r="E468" s="7" t="s">
        <v>770</v>
      </c>
      <c r="F468" s="3">
        <v>45203</v>
      </c>
      <c r="G468" s="4">
        <v>728</v>
      </c>
      <c r="H468" s="4">
        <v>9</v>
      </c>
      <c r="I468" s="4" t="str">
        <f t="shared" si="7"/>
        <v>Slow</v>
      </c>
      <c r="J468" s="2" t="s">
        <v>51</v>
      </c>
      <c r="K468" s="2" t="s">
        <v>49</v>
      </c>
      <c r="L468" s="4">
        <v>2</v>
      </c>
      <c r="M468" s="4">
        <v>469.72</v>
      </c>
      <c r="N468" s="4">
        <v>939.44</v>
      </c>
      <c r="O468" s="2" t="s">
        <v>26</v>
      </c>
      <c r="P468" t="str">
        <f>IF('Cleaned Data'!N468&gt;JOTTING!F481,"High Sales","Low Sales")</f>
        <v>High Sales</v>
      </c>
    </row>
    <row r="469" spans="2:16" ht="15" x14ac:dyDescent="0.25">
      <c r="B469" s="2" t="s">
        <v>514</v>
      </c>
      <c r="C469" s="2" t="s">
        <v>757</v>
      </c>
      <c r="D469" s="7">
        <v>2023</v>
      </c>
      <c r="E469" s="7" t="s">
        <v>761</v>
      </c>
      <c r="F469" s="3">
        <v>44932</v>
      </c>
      <c r="G469" s="4">
        <v>401</v>
      </c>
      <c r="H469" s="4">
        <v>4</v>
      </c>
      <c r="I469" s="4" t="str">
        <f t="shared" si="7"/>
        <v>Standard</v>
      </c>
      <c r="J469" s="2" t="s">
        <v>42</v>
      </c>
      <c r="K469" s="2" t="s">
        <v>57</v>
      </c>
      <c r="L469" s="4">
        <v>3</v>
      </c>
      <c r="M469" s="4">
        <v>294.91000000000003</v>
      </c>
      <c r="N469" s="4">
        <v>884.73</v>
      </c>
      <c r="O469" s="2" t="s">
        <v>31</v>
      </c>
      <c r="P469" t="str">
        <f>IF('Cleaned Data'!N469&gt;JOTTING!F482,"High Sales","Low Sales")</f>
        <v>High Sales</v>
      </c>
    </row>
    <row r="470" spans="2:16" ht="15" x14ac:dyDescent="0.25">
      <c r="B470" s="2" t="s">
        <v>515</v>
      </c>
      <c r="C470" s="2" t="s">
        <v>755</v>
      </c>
      <c r="D470" s="7">
        <v>2023</v>
      </c>
      <c r="E470" s="7" t="s">
        <v>765</v>
      </c>
      <c r="F470" s="3">
        <v>45101</v>
      </c>
      <c r="G470" s="4">
        <v>753</v>
      </c>
      <c r="H470" s="4">
        <v>4</v>
      </c>
      <c r="I470" s="4" t="str">
        <f t="shared" si="7"/>
        <v>Standard</v>
      </c>
      <c r="J470" s="2" t="s">
        <v>30</v>
      </c>
      <c r="K470" s="2" t="s">
        <v>49</v>
      </c>
      <c r="L470" s="4">
        <v>3</v>
      </c>
      <c r="M470" s="4">
        <v>140.13</v>
      </c>
      <c r="N470" s="4">
        <v>420.39</v>
      </c>
      <c r="O470" s="2" t="s">
        <v>26</v>
      </c>
      <c r="P470" t="str">
        <f>IF('Cleaned Data'!N470&gt;JOTTING!F483,"High Sales","Low Sales")</f>
        <v>High Sales</v>
      </c>
    </row>
    <row r="471" spans="2:16" ht="15" x14ac:dyDescent="0.25">
      <c r="B471" s="2" t="s">
        <v>516</v>
      </c>
      <c r="C471" s="2" t="s">
        <v>755</v>
      </c>
      <c r="D471" s="7">
        <v>2023</v>
      </c>
      <c r="E471" s="7" t="s">
        <v>769</v>
      </c>
      <c r="F471" s="3">
        <v>45037</v>
      </c>
      <c r="G471" s="4">
        <v>559</v>
      </c>
      <c r="H471" s="4">
        <v>2</v>
      </c>
      <c r="I471" s="4" t="str">
        <f t="shared" si="7"/>
        <v>Early</v>
      </c>
      <c r="J471" s="2" t="s">
        <v>42</v>
      </c>
      <c r="K471" s="2" t="s">
        <v>25</v>
      </c>
      <c r="L471" s="4">
        <v>4</v>
      </c>
      <c r="M471" s="4">
        <v>327.55</v>
      </c>
      <c r="N471" s="4">
        <v>1310.2</v>
      </c>
      <c r="O471" s="2" t="s">
        <v>31</v>
      </c>
      <c r="P471" t="str">
        <f>IF('Cleaned Data'!N471&gt;JOTTING!F484,"High Sales","Low Sales")</f>
        <v>High Sales</v>
      </c>
    </row>
    <row r="472" spans="2:16" ht="15" x14ac:dyDescent="0.25">
      <c r="B472" s="2" t="s">
        <v>517</v>
      </c>
      <c r="C472" s="2" t="s">
        <v>753</v>
      </c>
      <c r="D472" s="7">
        <v>2023</v>
      </c>
      <c r="E472" s="7" t="s">
        <v>759</v>
      </c>
      <c r="F472" s="3">
        <v>45244</v>
      </c>
      <c r="G472" s="4">
        <v>500</v>
      </c>
      <c r="H472" s="4">
        <v>6</v>
      </c>
      <c r="I472" s="4" t="str">
        <f t="shared" si="7"/>
        <v>Standard</v>
      </c>
      <c r="J472" s="2" t="s">
        <v>55</v>
      </c>
      <c r="K472" s="2" t="s">
        <v>19</v>
      </c>
      <c r="L472" s="4">
        <v>3</v>
      </c>
      <c r="M472" s="4">
        <v>384.3</v>
      </c>
      <c r="N472" s="4">
        <v>1152.9000000000001</v>
      </c>
      <c r="O472" s="2" t="s">
        <v>31</v>
      </c>
      <c r="P472" t="str">
        <f>IF('Cleaned Data'!N472&gt;JOTTING!F485,"High Sales","Low Sales")</f>
        <v>High Sales</v>
      </c>
    </row>
    <row r="473" spans="2:16" ht="15" x14ac:dyDescent="0.25">
      <c r="B473" s="2" t="s">
        <v>518</v>
      </c>
      <c r="C473" s="2" t="s">
        <v>757</v>
      </c>
      <c r="D473" s="7">
        <v>2023</v>
      </c>
      <c r="E473" s="7" t="s">
        <v>766</v>
      </c>
      <c r="F473" s="3">
        <v>45190</v>
      </c>
      <c r="G473" s="4">
        <v>650</v>
      </c>
      <c r="H473" s="4">
        <v>2</v>
      </c>
      <c r="I473" s="4" t="str">
        <f t="shared" si="7"/>
        <v>Early</v>
      </c>
      <c r="J473" s="2" t="s">
        <v>18</v>
      </c>
      <c r="K473" s="2" t="s">
        <v>57</v>
      </c>
      <c r="L473" s="4">
        <v>2</v>
      </c>
      <c r="M473" s="4">
        <v>382.06</v>
      </c>
      <c r="N473" s="4">
        <v>764.12</v>
      </c>
      <c r="O473" s="2" t="s">
        <v>26</v>
      </c>
      <c r="P473" t="str">
        <f>IF('Cleaned Data'!N473&gt;JOTTING!F486,"High Sales","Low Sales")</f>
        <v>High Sales</v>
      </c>
    </row>
    <row r="474" spans="2:16" ht="15" x14ac:dyDescent="0.25">
      <c r="B474" s="2" t="s">
        <v>519</v>
      </c>
      <c r="C474" s="2" t="s">
        <v>754</v>
      </c>
      <c r="D474" s="7">
        <v>2023</v>
      </c>
      <c r="E474" s="7" t="s">
        <v>768</v>
      </c>
      <c r="F474" s="3">
        <v>45149</v>
      </c>
      <c r="G474" s="4">
        <v>492</v>
      </c>
      <c r="H474" s="4">
        <v>7</v>
      </c>
      <c r="I474" s="4" t="str">
        <f t="shared" si="7"/>
        <v>Slow</v>
      </c>
      <c r="J474" s="2" t="s">
        <v>42</v>
      </c>
      <c r="K474" s="2" t="s">
        <v>57</v>
      </c>
      <c r="L474" s="4">
        <v>4</v>
      </c>
      <c r="M474" s="4">
        <v>284.64999999999998</v>
      </c>
      <c r="N474" s="4">
        <v>1138.5999999999999</v>
      </c>
      <c r="O474" s="2" t="s">
        <v>31</v>
      </c>
      <c r="P474" t="str">
        <f>IF('Cleaned Data'!N474&gt;JOTTING!F487,"High Sales","Low Sales")</f>
        <v>High Sales</v>
      </c>
    </row>
    <row r="475" spans="2:16" ht="15" x14ac:dyDescent="0.25">
      <c r="B475" s="2" t="s">
        <v>520</v>
      </c>
      <c r="C475" s="2" t="s">
        <v>757</v>
      </c>
      <c r="D475" s="7">
        <v>2023</v>
      </c>
      <c r="E475" s="7" t="s">
        <v>769</v>
      </c>
      <c r="F475" s="3">
        <v>45031</v>
      </c>
      <c r="G475" s="4">
        <v>966</v>
      </c>
      <c r="H475" s="4">
        <v>3</v>
      </c>
      <c r="I475" s="4" t="str">
        <f t="shared" si="7"/>
        <v>Standard</v>
      </c>
      <c r="J475" s="2" t="s">
        <v>30</v>
      </c>
      <c r="K475" s="2" t="s">
        <v>19</v>
      </c>
      <c r="L475" s="4">
        <v>1</v>
      </c>
      <c r="M475" s="4">
        <v>80.81</v>
      </c>
      <c r="N475" s="4">
        <v>80.81</v>
      </c>
      <c r="O475" s="2" t="s">
        <v>20</v>
      </c>
      <c r="P475" t="str">
        <f>IF('Cleaned Data'!N475&gt;JOTTING!F488,"High Sales","Low Sales")</f>
        <v>High Sales</v>
      </c>
    </row>
    <row r="476" spans="2:16" ht="15" x14ac:dyDescent="0.25">
      <c r="B476" s="2" t="s">
        <v>521</v>
      </c>
      <c r="C476" s="2" t="s">
        <v>754</v>
      </c>
      <c r="D476" s="7">
        <v>2023</v>
      </c>
      <c r="E476" s="7" t="s">
        <v>763</v>
      </c>
      <c r="F476" s="3">
        <v>45262</v>
      </c>
      <c r="G476" s="4">
        <v>863</v>
      </c>
      <c r="H476" s="4">
        <v>3</v>
      </c>
      <c r="I476" s="4" t="str">
        <f t="shared" si="7"/>
        <v>Standard</v>
      </c>
      <c r="J476" s="2" t="s">
        <v>30</v>
      </c>
      <c r="K476" s="2" t="s">
        <v>49</v>
      </c>
      <c r="L476" s="4">
        <v>1</v>
      </c>
      <c r="M476" s="4">
        <v>217</v>
      </c>
      <c r="N476" s="4">
        <v>217</v>
      </c>
      <c r="O476" s="2" t="s">
        <v>20</v>
      </c>
      <c r="P476" t="str">
        <f>IF('Cleaned Data'!N476&gt;JOTTING!F489,"High Sales","Low Sales")</f>
        <v>High Sales</v>
      </c>
    </row>
    <row r="477" spans="2:16" ht="15" x14ac:dyDescent="0.25">
      <c r="B477" s="2" t="s">
        <v>522</v>
      </c>
      <c r="C477" s="2" t="s">
        <v>756</v>
      </c>
      <c r="D477" s="7">
        <v>2023</v>
      </c>
      <c r="E477" s="7" t="s">
        <v>761</v>
      </c>
      <c r="F477" s="3">
        <v>44948</v>
      </c>
      <c r="G477" s="4">
        <v>944</v>
      </c>
      <c r="H477" s="4">
        <v>5</v>
      </c>
      <c r="I477" s="4" t="str">
        <f t="shared" si="7"/>
        <v>Standard</v>
      </c>
      <c r="J477" s="2" t="s">
        <v>63</v>
      </c>
      <c r="K477" s="2" t="s">
        <v>57</v>
      </c>
      <c r="L477" s="4">
        <v>4</v>
      </c>
      <c r="M477" s="4">
        <v>464.34</v>
      </c>
      <c r="N477" s="4">
        <v>1857.36</v>
      </c>
      <c r="O477" s="2" t="s">
        <v>31</v>
      </c>
      <c r="P477" t="str">
        <f>IF('Cleaned Data'!N477&gt;JOTTING!F490,"High Sales","Low Sales")</f>
        <v>High Sales</v>
      </c>
    </row>
    <row r="478" spans="2:16" ht="15" x14ac:dyDescent="0.25">
      <c r="B478" s="2" t="s">
        <v>523</v>
      </c>
      <c r="C478" s="2" t="s">
        <v>754</v>
      </c>
      <c r="D478" s="7">
        <v>2023</v>
      </c>
      <c r="E478" s="7" t="s">
        <v>764</v>
      </c>
      <c r="F478" s="3">
        <v>44969</v>
      </c>
      <c r="G478" s="4">
        <v>306</v>
      </c>
      <c r="H478" s="4">
        <v>3</v>
      </c>
      <c r="I478" s="4" t="str">
        <f t="shared" si="7"/>
        <v>Standard</v>
      </c>
      <c r="J478" s="2" t="s">
        <v>63</v>
      </c>
      <c r="K478" s="2" t="s">
        <v>49</v>
      </c>
      <c r="L478" s="4">
        <v>2</v>
      </c>
      <c r="M478" s="4">
        <v>313</v>
      </c>
      <c r="N478" s="4">
        <v>626</v>
      </c>
      <c r="O478" s="2" t="s">
        <v>31</v>
      </c>
      <c r="P478" t="str">
        <f>IF('Cleaned Data'!N478&gt;JOTTING!F491,"High Sales","Low Sales")</f>
        <v>High Sales</v>
      </c>
    </row>
    <row r="479" spans="2:16" ht="15" x14ac:dyDescent="0.25">
      <c r="B479" s="2" t="s">
        <v>524</v>
      </c>
      <c r="C479" s="2" t="s">
        <v>755</v>
      </c>
      <c r="D479" s="7">
        <v>2023</v>
      </c>
      <c r="E479" s="7" t="s">
        <v>760</v>
      </c>
      <c r="F479" s="3">
        <v>45071</v>
      </c>
      <c r="G479" s="4">
        <v>309</v>
      </c>
      <c r="H479" s="4">
        <v>2</v>
      </c>
      <c r="I479" s="4" t="str">
        <f t="shared" si="7"/>
        <v>Early</v>
      </c>
      <c r="J479" s="2" t="s">
        <v>18</v>
      </c>
      <c r="K479" s="2" t="s">
        <v>39</v>
      </c>
      <c r="L479" s="4">
        <v>1</v>
      </c>
      <c r="M479" s="4">
        <v>292.25</v>
      </c>
      <c r="N479" s="4">
        <v>292.25</v>
      </c>
      <c r="O479" s="2" t="s">
        <v>43</v>
      </c>
      <c r="P479" t="str">
        <f>IF('Cleaned Data'!N479&gt;JOTTING!F492,"High Sales","Low Sales")</f>
        <v>High Sales</v>
      </c>
    </row>
    <row r="480" spans="2:16" ht="15" x14ac:dyDescent="0.25">
      <c r="B480" s="2" t="s">
        <v>525</v>
      </c>
      <c r="C480" s="2" t="s">
        <v>755</v>
      </c>
      <c r="D480" s="7">
        <v>2023</v>
      </c>
      <c r="E480" s="7" t="s">
        <v>764</v>
      </c>
      <c r="F480" s="3">
        <v>44981</v>
      </c>
      <c r="G480" s="4">
        <v>214</v>
      </c>
      <c r="H480" s="4">
        <v>9</v>
      </c>
      <c r="I480" s="4" t="str">
        <f t="shared" si="7"/>
        <v>Slow</v>
      </c>
      <c r="J480" s="2" t="s">
        <v>42</v>
      </c>
      <c r="K480" s="2" t="s">
        <v>19</v>
      </c>
      <c r="L480" s="4">
        <v>1</v>
      </c>
      <c r="M480" s="4">
        <v>170.98</v>
      </c>
      <c r="N480" s="4">
        <v>170.98</v>
      </c>
      <c r="O480" s="2" t="s">
        <v>20</v>
      </c>
      <c r="P480" t="str">
        <f>IF('Cleaned Data'!N480&gt;JOTTING!F493,"High Sales","Low Sales")</f>
        <v>High Sales</v>
      </c>
    </row>
    <row r="481" spans="2:16" ht="15" x14ac:dyDescent="0.25">
      <c r="B481" s="2" t="s">
        <v>526</v>
      </c>
      <c r="C481" s="2" t="s">
        <v>756</v>
      </c>
      <c r="D481" s="7">
        <v>2023</v>
      </c>
      <c r="E481" s="7" t="s">
        <v>763</v>
      </c>
      <c r="F481" s="3">
        <v>45278</v>
      </c>
      <c r="G481" s="4">
        <v>836</v>
      </c>
      <c r="H481" s="4">
        <v>2</v>
      </c>
      <c r="I481" s="4" t="str">
        <f t="shared" si="7"/>
        <v>Early</v>
      </c>
      <c r="J481" s="2" t="s">
        <v>24</v>
      </c>
      <c r="K481" s="2" t="s">
        <v>39</v>
      </c>
      <c r="L481" s="4">
        <v>3</v>
      </c>
      <c r="M481" s="4">
        <v>215.8</v>
      </c>
      <c r="N481" s="4">
        <v>647.4</v>
      </c>
      <c r="O481" s="2" t="s">
        <v>20</v>
      </c>
      <c r="P481" t="str">
        <f>IF('Cleaned Data'!N481&gt;JOTTING!F494,"High Sales","Low Sales")</f>
        <v>High Sales</v>
      </c>
    </row>
    <row r="482" spans="2:16" ht="15" x14ac:dyDescent="0.25">
      <c r="B482" s="2" t="s">
        <v>527</v>
      </c>
      <c r="C482" s="2" t="s">
        <v>755</v>
      </c>
      <c r="D482" s="7">
        <v>2023</v>
      </c>
      <c r="E482" s="7" t="s">
        <v>770</v>
      </c>
      <c r="F482" s="3">
        <v>45220</v>
      </c>
      <c r="G482" s="4">
        <v>745</v>
      </c>
      <c r="H482" s="4">
        <v>2</v>
      </c>
      <c r="I482" s="4" t="str">
        <f t="shared" si="7"/>
        <v>Early</v>
      </c>
      <c r="J482" s="2" t="s">
        <v>30</v>
      </c>
      <c r="K482" s="2" t="s">
        <v>25</v>
      </c>
      <c r="L482" s="4">
        <v>3</v>
      </c>
      <c r="M482" s="4">
        <v>452.91</v>
      </c>
      <c r="N482" s="4">
        <v>1358.73</v>
      </c>
      <c r="O482" s="2" t="s">
        <v>26</v>
      </c>
      <c r="P482" t="str">
        <f>IF('Cleaned Data'!N482&gt;JOTTING!F495,"High Sales","Low Sales")</f>
        <v>High Sales</v>
      </c>
    </row>
    <row r="483" spans="2:16" ht="15" x14ac:dyDescent="0.25">
      <c r="B483" s="2" t="s">
        <v>528</v>
      </c>
      <c r="C483" s="2" t="s">
        <v>754</v>
      </c>
      <c r="D483" s="7">
        <v>2023</v>
      </c>
      <c r="E483" s="7" t="s">
        <v>769</v>
      </c>
      <c r="F483" s="3">
        <v>45029</v>
      </c>
      <c r="G483" s="4">
        <v>350</v>
      </c>
      <c r="H483" s="4">
        <v>8</v>
      </c>
      <c r="I483" s="4" t="str">
        <f t="shared" si="7"/>
        <v>Slow</v>
      </c>
      <c r="J483" s="2" t="s">
        <v>18</v>
      </c>
      <c r="K483" s="2" t="s">
        <v>19</v>
      </c>
      <c r="L483" s="4">
        <v>2</v>
      </c>
      <c r="M483" s="4">
        <v>349.91</v>
      </c>
      <c r="N483" s="4">
        <v>699.82</v>
      </c>
      <c r="O483" s="2" t="s">
        <v>26</v>
      </c>
      <c r="P483" t="str">
        <f>IF('Cleaned Data'!N483&gt;JOTTING!F496,"High Sales","Low Sales")</f>
        <v>High Sales</v>
      </c>
    </row>
    <row r="484" spans="2:16" ht="15" x14ac:dyDescent="0.25">
      <c r="B484" s="2" t="s">
        <v>529</v>
      </c>
      <c r="C484" s="2" t="s">
        <v>755</v>
      </c>
      <c r="D484" s="7">
        <v>2023</v>
      </c>
      <c r="E484" s="7" t="s">
        <v>768</v>
      </c>
      <c r="F484" s="3">
        <v>45150</v>
      </c>
      <c r="G484" s="4">
        <v>318</v>
      </c>
      <c r="H484" s="4">
        <v>9</v>
      </c>
      <c r="I484" s="4" t="str">
        <f t="shared" si="7"/>
        <v>Slow</v>
      </c>
      <c r="J484" s="2" t="s">
        <v>30</v>
      </c>
      <c r="K484" s="2" t="s">
        <v>57</v>
      </c>
      <c r="L484" s="4">
        <v>4</v>
      </c>
      <c r="M484" s="4">
        <v>404.32</v>
      </c>
      <c r="N484" s="4">
        <v>1617.28</v>
      </c>
      <c r="O484" s="2" t="s">
        <v>20</v>
      </c>
      <c r="P484" t="str">
        <f>IF('Cleaned Data'!N484&gt;JOTTING!F497,"High Sales","Low Sales")</f>
        <v>High Sales</v>
      </c>
    </row>
    <row r="485" spans="2:16" ht="15" x14ac:dyDescent="0.25">
      <c r="B485" s="2" t="s">
        <v>530</v>
      </c>
      <c r="C485" s="2" t="s">
        <v>756</v>
      </c>
      <c r="D485" s="7">
        <v>2024</v>
      </c>
      <c r="E485" s="7" t="s">
        <v>761</v>
      </c>
      <c r="F485" s="3">
        <v>45292</v>
      </c>
      <c r="G485" s="4">
        <v>506</v>
      </c>
      <c r="H485" s="4">
        <v>7</v>
      </c>
      <c r="I485" s="4" t="str">
        <f t="shared" si="7"/>
        <v>Slow</v>
      </c>
      <c r="J485" s="2" t="s">
        <v>24</v>
      </c>
      <c r="K485" s="2" t="s">
        <v>49</v>
      </c>
      <c r="L485" s="4">
        <v>2</v>
      </c>
      <c r="M485" s="4">
        <v>254.46</v>
      </c>
      <c r="N485" s="4">
        <v>508.92</v>
      </c>
      <c r="O485" s="2" t="s">
        <v>43</v>
      </c>
      <c r="P485" t="str">
        <f>IF('Cleaned Data'!N485&gt;JOTTING!F498,"High Sales","Low Sales")</f>
        <v>High Sales</v>
      </c>
    </row>
    <row r="486" spans="2:16" ht="15" x14ac:dyDescent="0.25">
      <c r="B486" s="2" t="s">
        <v>531</v>
      </c>
      <c r="C486" s="2" t="s">
        <v>753</v>
      </c>
      <c r="D486" s="7">
        <v>2023</v>
      </c>
      <c r="E486" s="7" t="s">
        <v>759</v>
      </c>
      <c r="F486" s="3">
        <v>45252</v>
      </c>
      <c r="G486" s="4">
        <v>542</v>
      </c>
      <c r="H486" s="4">
        <v>3</v>
      </c>
      <c r="I486" s="4" t="str">
        <f t="shared" si="7"/>
        <v>Standard</v>
      </c>
      <c r="J486" s="2" t="s">
        <v>51</v>
      </c>
      <c r="K486" s="2" t="s">
        <v>39</v>
      </c>
      <c r="L486" s="4">
        <v>4</v>
      </c>
      <c r="M486" s="4">
        <v>333.61</v>
      </c>
      <c r="N486" s="4">
        <v>1334.44</v>
      </c>
      <c r="O486" s="2" t="s">
        <v>43</v>
      </c>
      <c r="P486" t="str">
        <f>IF('Cleaned Data'!N486&gt;JOTTING!F499,"High Sales","Low Sales")</f>
        <v>High Sales</v>
      </c>
    </row>
    <row r="487" spans="2:16" ht="15" x14ac:dyDescent="0.25">
      <c r="B487" s="2" t="s">
        <v>532</v>
      </c>
      <c r="C487" s="2" t="s">
        <v>757</v>
      </c>
      <c r="D487" s="7">
        <v>2023</v>
      </c>
      <c r="E487" s="7" t="s">
        <v>768</v>
      </c>
      <c r="F487" s="3">
        <v>45155</v>
      </c>
      <c r="G487" s="4">
        <v>702</v>
      </c>
      <c r="H487" s="4">
        <v>9</v>
      </c>
      <c r="I487" s="4" t="str">
        <f t="shared" si="7"/>
        <v>Slow</v>
      </c>
      <c r="J487" s="2" t="s">
        <v>18</v>
      </c>
      <c r="K487" s="2" t="s">
        <v>25</v>
      </c>
      <c r="L487" s="4">
        <v>1</v>
      </c>
      <c r="M487" s="4">
        <v>161.77000000000001</v>
      </c>
      <c r="N487" s="4">
        <v>161.77000000000001</v>
      </c>
      <c r="O487" s="2" t="s">
        <v>31</v>
      </c>
      <c r="P487" t="str">
        <f>IF('Cleaned Data'!N487&gt;JOTTING!F500,"High Sales","Low Sales")</f>
        <v>High Sales</v>
      </c>
    </row>
    <row r="488" spans="2:16" ht="15" x14ac:dyDescent="0.25">
      <c r="B488" s="2" t="s">
        <v>533</v>
      </c>
      <c r="C488" s="2" t="s">
        <v>757</v>
      </c>
      <c r="D488" s="7">
        <v>2023</v>
      </c>
      <c r="E488" s="7" t="s">
        <v>759</v>
      </c>
      <c r="F488" s="3">
        <v>45259</v>
      </c>
      <c r="G488" s="4">
        <v>453</v>
      </c>
      <c r="H488" s="4">
        <v>3</v>
      </c>
      <c r="I488" s="4" t="str">
        <f t="shared" si="7"/>
        <v>Standard</v>
      </c>
      <c r="J488" s="2" t="s">
        <v>51</v>
      </c>
      <c r="K488" s="2" t="s">
        <v>39</v>
      </c>
      <c r="L488" s="4">
        <v>3</v>
      </c>
      <c r="M488" s="4">
        <v>367.46</v>
      </c>
      <c r="N488" s="4">
        <v>1102.3800000000001</v>
      </c>
      <c r="O488" s="2" t="s">
        <v>43</v>
      </c>
      <c r="P488" t="str">
        <f>IF('Cleaned Data'!N488&gt;JOTTING!F501,"High Sales","Low Sales")</f>
        <v>High Sales</v>
      </c>
    </row>
    <row r="489" spans="2:16" ht="15" x14ac:dyDescent="0.25">
      <c r="B489" s="2" t="s">
        <v>534</v>
      </c>
      <c r="C489" s="2" t="s">
        <v>757</v>
      </c>
      <c r="D489" s="7">
        <v>2024</v>
      </c>
      <c r="E489" s="7" t="s">
        <v>761</v>
      </c>
      <c r="F489" s="3">
        <v>45293</v>
      </c>
      <c r="G489" s="4">
        <v>987</v>
      </c>
      <c r="H489" s="4">
        <v>5</v>
      </c>
      <c r="I489" s="4" t="str">
        <f t="shared" si="7"/>
        <v>Standard</v>
      </c>
      <c r="J489" s="2" t="s">
        <v>55</v>
      </c>
      <c r="K489" s="2" t="s">
        <v>39</v>
      </c>
      <c r="L489" s="4">
        <v>2</v>
      </c>
      <c r="M489" s="4">
        <v>242.42</v>
      </c>
      <c r="N489" s="4">
        <v>484.84</v>
      </c>
      <c r="O489" s="2" t="s">
        <v>31</v>
      </c>
      <c r="P489" t="str">
        <f>IF('Cleaned Data'!N489&gt;JOTTING!F502,"High Sales","Low Sales")</f>
        <v>High Sales</v>
      </c>
    </row>
    <row r="490" spans="2:16" ht="15" x14ac:dyDescent="0.25">
      <c r="B490" s="2" t="s">
        <v>535</v>
      </c>
      <c r="C490" s="2" t="s">
        <v>753</v>
      </c>
      <c r="D490" s="7">
        <v>2023</v>
      </c>
      <c r="E490" s="7" t="s">
        <v>770</v>
      </c>
      <c r="F490" s="3">
        <v>45207</v>
      </c>
      <c r="G490" s="4">
        <v>657</v>
      </c>
      <c r="H490" s="4">
        <v>9</v>
      </c>
      <c r="I490" s="4" t="str">
        <f t="shared" si="7"/>
        <v>Slow</v>
      </c>
      <c r="J490" s="2" t="s">
        <v>63</v>
      </c>
      <c r="K490" s="2" t="s">
        <v>57</v>
      </c>
      <c r="L490" s="4">
        <v>2</v>
      </c>
      <c r="M490" s="4">
        <v>249.15</v>
      </c>
      <c r="N490" s="4">
        <v>498.3</v>
      </c>
      <c r="O490" s="2" t="s">
        <v>20</v>
      </c>
      <c r="P490" t="str">
        <f>IF('Cleaned Data'!N490&gt;JOTTING!F503,"High Sales","Low Sales")</f>
        <v>High Sales</v>
      </c>
    </row>
    <row r="491" spans="2:16" ht="15" x14ac:dyDescent="0.25">
      <c r="B491" s="2" t="s">
        <v>536</v>
      </c>
      <c r="C491" s="2" t="s">
        <v>755</v>
      </c>
      <c r="D491" s="7">
        <v>2023</v>
      </c>
      <c r="E491" s="7" t="s">
        <v>761</v>
      </c>
      <c r="F491" s="3">
        <v>44953</v>
      </c>
      <c r="G491" s="4">
        <v>649</v>
      </c>
      <c r="H491" s="4">
        <v>3</v>
      </c>
      <c r="I491" s="4" t="str">
        <f t="shared" si="7"/>
        <v>Standard</v>
      </c>
      <c r="J491" s="2" t="s">
        <v>42</v>
      </c>
      <c r="K491" s="2" t="s">
        <v>39</v>
      </c>
      <c r="L491" s="4">
        <v>4</v>
      </c>
      <c r="M491" s="4">
        <v>342.2</v>
      </c>
      <c r="N491" s="4">
        <v>1368.8</v>
      </c>
      <c r="O491" s="2" t="s">
        <v>31</v>
      </c>
      <c r="P491" t="str">
        <f>IF('Cleaned Data'!N491&gt;JOTTING!F504,"High Sales","Low Sales")</f>
        <v>High Sales</v>
      </c>
    </row>
    <row r="492" spans="2:16" ht="15" x14ac:dyDescent="0.25">
      <c r="B492" s="2" t="s">
        <v>537</v>
      </c>
      <c r="C492" s="2" t="s">
        <v>755</v>
      </c>
      <c r="D492" s="7">
        <v>2023</v>
      </c>
      <c r="E492" s="7" t="s">
        <v>765</v>
      </c>
      <c r="F492" s="3">
        <v>45080</v>
      </c>
      <c r="G492" s="4">
        <v>241</v>
      </c>
      <c r="H492" s="4">
        <v>7</v>
      </c>
      <c r="I492" s="4" t="str">
        <f t="shared" si="7"/>
        <v>Slow</v>
      </c>
      <c r="J492" s="2" t="s">
        <v>30</v>
      </c>
      <c r="K492" s="2" t="s">
        <v>57</v>
      </c>
      <c r="L492" s="4">
        <v>4</v>
      </c>
      <c r="M492" s="4">
        <v>471.33</v>
      </c>
      <c r="N492" s="4">
        <v>1885.32</v>
      </c>
      <c r="O492" s="2" t="s">
        <v>20</v>
      </c>
      <c r="P492" t="str">
        <f>IF('Cleaned Data'!N492&gt;JOTTING!F505,"High Sales","Low Sales")</f>
        <v>High Sales</v>
      </c>
    </row>
    <row r="493" spans="2:16" ht="15" x14ac:dyDescent="0.25">
      <c r="B493" s="2" t="s">
        <v>538</v>
      </c>
      <c r="C493" s="2" t="s">
        <v>753</v>
      </c>
      <c r="D493" s="7">
        <v>2023</v>
      </c>
      <c r="E493" s="7" t="s">
        <v>759</v>
      </c>
      <c r="F493" s="3">
        <v>45233</v>
      </c>
      <c r="G493" s="4">
        <v>711</v>
      </c>
      <c r="H493" s="4">
        <v>1</v>
      </c>
      <c r="I493" s="4" t="str">
        <f t="shared" si="7"/>
        <v>Early</v>
      </c>
      <c r="J493" s="2" t="s">
        <v>42</v>
      </c>
      <c r="K493" s="2" t="s">
        <v>25</v>
      </c>
      <c r="L493" s="4">
        <v>2</v>
      </c>
      <c r="M493" s="4">
        <v>78.8</v>
      </c>
      <c r="N493" s="4">
        <v>157.6</v>
      </c>
      <c r="O493" s="2" t="s">
        <v>43</v>
      </c>
      <c r="P493" t="str">
        <f>IF('Cleaned Data'!N493&gt;JOTTING!F506,"High Sales","Low Sales")</f>
        <v>High Sales</v>
      </c>
    </row>
    <row r="494" spans="2:16" ht="15" x14ac:dyDescent="0.25">
      <c r="B494" s="2" t="s">
        <v>539</v>
      </c>
      <c r="C494" s="2" t="s">
        <v>753</v>
      </c>
      <c r="D494" s="7">
        <v>2023</v>
      </c>
      <c r="E494" s="7" t="s">
        <v>767</v>
      </c>
      <c r="F494" s="3">
        <v>45015</v>
      </c>
      <c r="G494" s="4">
        <v>600</v>
      </c>
      <c r="H494" s="4">
        <v>4</v>
      </c>
      <c r="I494" s="4" t="str">
        <f t="shared" si="7"/>
        <v>Standard</v>
      </c>
      <c r="J494" s="2" t="s">
        <v>18</v>
      </c>
      <c r="K494" s="2" t="s">
        <v>39</v>
      </c>
      <c r="L494" s="4">
        <v>4</v>
      </c>
      <c r="M494" s="4">
        <v>421.13</v>
      </c>
      <c r="N494" s="4">
        <v>1684.52</v>
      </c>
      <c r="O494" s="2" t="s">
        <v>20</v>
      </c>
      <c r="P494" t="str">
        <f>IF('Cleaned Data'!N494&gt;JOTTING!F507,"High Sales","Low Sales")</f>
        <v>High Sales</v>
      </c>
    </row>
    <row r="495" spans="2:16" ht="15" x14ac:dyDescent="0.25">
      <c r="B495" s="2" t="s">
        <v>540</v>
      </c>
      <c r="C495" s="2" t="s">
        <v>756</v>
      </c>
      <c r="D495" s="7">
        <v>2023</v>
      </c>
      <c r="E495" s="7" t="s">
        <v>759</v>
      </c>
      <c r="F495" s="3">
        <v>45234</v>
      </c>
      <c r="G495" s="4">
        <v>939</v>
      </c>
      <c r="H495" s="4">
        <v>4</v>
      </c>
      <c r="I495" s="4" t="str">
        <f t="shared" si="7"/>
        <v>Standard</v>
      </c>
      <c r="J495" s="2" t="s">
        <v>30</v>
      </c>
      <c r="K495" s="2" t="s">
        <v>19</v>
      </c>
      <c r="L495" s="4">
        <v>2</v>
      </c>
      <c r="M495" s="4">
        <v>181.57</v>
      </c>
      <c r="N495" s="4">
        <v>363.14</v>
      </c>
      <c r="O495" s="2" t="s">
        <v>20</v>
      </c>
      <c r="P495" t="str">
        <f>IF('Cleaned Data'!N495&gt;JOTTING!F508,"High Sales","Low Sales")</f>
        <v>High Sales</v>
      </c>
    </row>
    <row r="496" spans="2:16" ht="15" x14ac:dyDescent="0.25">
      <c r="B496" s="2" t="s">
        <v>541</v>
      </c>
      <c r="C496" s="2" t="s">
        <v>754</v>
      </c>
      <c r="D496" s="7">
        <v>2023</v>
      </c>
      <c r="E496" s="7" t="s">
        <v>764</v>
      </c>
      <c r="F496" s="3">
        <v>44977</v>
      </c>
      <c r="G496" s="4">
        <v>801</v>
      </c>
      <c r="H496" s="4">
        <v>7</v>
      </c>
      <c r="I496" s="4" t="str">
        <f t="shared" si="7"/>
        <v>Slow</v>
      </c>
      <c r="J496" s="2" t="s">
        <v>24</v>
      </c>
      <c r="K496" s="2" t="s">
        <v>25</v>
      </c>
      <c r="L496" s="4">
        <v>2</v>
      </c>
      <c r="M496" s="4">
        <v>249.76</v>
      </c>
      <c r="N496" s="4">
        <v>499.52</v>
      </c>
      <c r="O496" s="2" t="s">
        <v>31</v>
      </c>
      <c r="P496" t="str">
        <f>IF('Cleaned Data'!N496&gt;JOTTING!F509,"High Sales","Low Sales")</f>
        <v>High Sales</v>
      </c>
    </row>
    <row r="497" spans="2:16" ht="15" x14ac:dyDescent="0.25">
      <c r="B497" s="2" t="s">
        <v>542</v>
      </c>
      <c r="C497" s="2" t="s">
        <v>757</v>
      </c>
      <c r="D497" s="7">
        <v>2023</v>
      </c>
      <c r="E497" s="7" t="s">
        <v>761</v>
      </c>
      <c r="F497" s="3">
        <v>44952</v>
      </c>
      <c r="G497" s="4">
        <v>646</v>
      </c>
      <c r="H497" s="4">
        <v>8</v>
      </c>
      <c r="I497" s="4" t="str">
        <f t="shared" si="7"/>
        <v>Slow</v>
      </c>
      <c r="J497" s="2" t="s">
        <v>18</v>
      </c>
      <c r="K497" s="2" t="s">
        <v>39</v>
      </c>
      <c r="L497" s="4">
        <v>2</v>
      </c>
      <c r="M497" s="4">
        <v>59.86</v>
      </c>
      <c r="N497" s="4">
        <v>119.72</v>
      </c>
      <c r="O497" s="2" t="s">
        <v>26</v>
      </c>
      <c r="P497" t="str">
        <f>IF('Cleaned Data'!N497&gt;JOTTING!F510,"High Sales","Low Sales")</f>
        <v>High Sales</v>
      </c>
    </row>
    <row r="498" spans="2:16" ht="15" x14ac:dyDescent="0.25">
      <c r="B498" s="2" t="s">
        <v>543</v>
      </c>
      <c r="C498" s="2" t="s">
        <v>753</v>
      </c>
      <c r="D498" s="7">
        <v>2023</v>
      </c>
      <c r="E498" s="7" t="s">
        <v>760</v>
      </c>
      <c r="F498" s="3">
        <v>45068</v>
      </c>
      <c r="G498" s="4">
        <v>758</v>
      </c>
      <c r="H498" s="4">
        <v>1</v>
      </c>
      <c r="I498" s="4" t="str">
        <f t="shared" si="7"/>
        <v>Early</v>
      </c>
      <c r="J498" s="2" t="s">
        <v>24</v>
      </c>
      <c r="K498" s="2" t="s">
        <v>25</v>
      </c>
      <c r="L498" s="4">
        <v>1</v>
      </c>
      <c r="M498" s="4">
        <v>185.47</v>
      </c>
      <c r="N498" s="4">
        <v>185.47</v>
      </c>
      <c r="O498" s="2" t="s">
        <v>31</v>
      </c>
      <c r="P498" t="str">
        <f>IF('Cleaned Data'!N498&gt;JOTTING!F511,"High Sales","Low Sales")</f>
        <v>High Sales</v>
      </c>
    </row>
    <row r="499" spans="2:16" ht="15" x14ac:dyDescent="0.25">
      <c r="B499" s="2" t="s">
        <v>544</v>
      </c>
      <c r="C499" s="2" t="s">
        <v>755</v>
      </c>
      <c r="D499" s="7">
        <v>2023</v>
      </c>
      <c r="E499" s="7" t="s">
        <v>761</v>
      </c>
      <c r="F499" s="3">
        <v>44945</v>
      </c>
      <c r="G499" s="4">
        <v>641</v>
      </c>
      <c r="H499" s="4">
        <v>5</v>
      </c>
      <c r="I499" s="4" t="str">
        <f t="shared" si="7"/>
        <v>Standard</v>
      </c>
      <c r="J499" s="2" t="s">
        <v>18</v>
      </c>
      <c r="K499" s="2" t="s">
        <v>49</v>
      </c>
      <c r="L499" s="4">
        <v>4</v>
      </c>
      <c r="M499" s="4">
        <v>276.18</v>
      </c>
      <c r="N499" s="4">
        <v>1104.72</v>
      </c>
      <c r="O499" s="2" t="s">
        <v>31</v>
      </c>
      <c r="P499" t="str">
        <f>IF('Cleaned Data'!N499&gt;JOTTING!F512,"High Sales","Low Sales")</f>
        <v>High Sales</v>
      </c>
    </row>
    <row r="500" spans="2:16" ht="15" x14ac:dyDescent="0.25">
      <c r="B500" s="2" t="s">
        <v>545</v>
      </c>
      <c r="C500" s="2" t="s">
        <v>753</v>
      </c>
      <c r="D500" s="7">
        <v>2023</v>
      </c>
      <c r="E500" s="7" t="s">
        <v>763</v>
      </c>
      <c r="F500" s="3">
        <v>45283</v>
      </c>
      <c r="G500" s="4">
        <v>945</v>
      </c>
      <c r="H500" s="4">
        <v>7</v>
      </c>
      <c r="I500" s="4" t="str">
        <f t="shared" si="7"/>
        <v>Slow</v>
      </c>
      <c r="J500" s="2" t="s">
        <v>30</v>
      </c>
      <c r="K500" s="2" t="s">
        <v>25</v>
      </c>
      <c r="L500" s="4">
        <v>3</v>
      </c>
      <c r="M500" s="4">
        <v>75.28</v>
      </c>
      <c r="N500" s="4">
        <v>225.84</v>
      </c>
      <c r="O500" s="2" t="s">
        <v>43</v>
      </c>
      <c r="P500" t="str">
        <f>IF('Cleaned Data'!N500&gt;JOTTING!F513,"High Sales","Low Sales")</f>
        <v>High Sales</v>
      </c>
    </row>
    <row r="501" spans="2:16" ht="15" x14ac:dyDescent="0.25">
      <c r="B501" s="2" t="s">
        <v>546</v>
      </c>
      <c r="C501" s="2" t="s">
        <v>754</v>
      </c>
      <c r="D501" s="7">
        <v>2023</v>
      </c>
      <c r="E501" s="7" t="s">
        <v>759</v>
      </c>
      <c r="F501" s="3">
        <v>45232</v>
      </c>
      <c r="G501" s="4">
        <v>606</v>
      </c>
      <c r="H501" s="4">
        <v>4</v>
      </c>
      <c r="I501" s="4" t="str">
        <f t="shared" si="7"/>
        <v>Standard</v>
      </c>
      <c r="J501" s="2" t="s">
        <v>18</v>
      </c>
      <c r="K501" s="2" t="s">
        <v>57</v>
      </c>
      <c r="L501" s="4">
        <v>3</v>
      </c>
      <c r="M501" s="4">
        <v>270.99</v>
      </c>
      <c r="N501" s="4">
        <v>812.97</v>
      </c>
      <c r="O501" s="2" t="s">
        <v>20</v>
      </c>
      <c r="P501" t="str">
        <f>IF('Cleaned Data'!N501&gt;JOTTING!F514,"High Sales","Low Sales")</f>
        <v>High Sales</v>
      </c>
    </row>
    <row r="502" spans="2:16" ht="15" x14ac:dyDescent="0.25">
      <c r="B502" s="2" t="s">
        <v>547</v>
      </c>
      <c r="C502" s="2" t="s">
        <v>755</v>
      </c>
      <c r="D502" s="7">
        <v>2023</v>
      </c>
      <c r="E502" s="7" t="s">
        <v>770</v>
      </c>
      <c r="F502" s="3">
        <v>45223</v>
      </c>
      <c r="G502" s="4">
        <v>695</v>
      </c>
      <c r="H502" s="4">
        <v>4</v>
      </c>
      <c r="I502" s="4" t="str">
        <f t="shared" si="7"/>
        <v>Standard</v>
      </c>
      <c r="J502" s="2" t="s">
        <v>55</v>
      </c>
      <c r="K502" s="2" t="s">
        <v>49</v>
      </c>
      <c r="L502" s="4">
        <v>4</v>
      </c>
      <c r="M502" s="4">
        <v>467.2</v>
      </c>
      <c r="N502" s="4">
        <v>1868.8</v>
      </c>
      <c r="O502" s="2" t="s">
        <v>20</v>
      </c>
      <c r="P502" t="str">
        <f>IF('Cleaned Data'!N502&gt;JOTTING!F515,"High Sales","Low Sales")</f>
        <v>High Sales</v>
      </c>
    </row>
    <row r="503" spans="2:16" ht="15" x14ac:dyDescent="0.25">
      <c r="B503" s="2" t="s">
        <v>548</v>
      </c>
      <c r="C503" s="2" t="s">
        <v>753</v>
      </c>
      <c r="D503" s="7">
        <v>2023</v>
      </c>
      <c r="E503" s="7" t="s">
        <v>768</v>
      </c>
      <c r="F503" s="3">
        <v>45160</v>
      </c>
      <c r="G503" s="4">
        <v>980</v>
      </c>
      <c r="H503" s="4">
        <v>4</v>
      </c>
      <c r="I503" s="4" t="str">
        <f t="shared" si="7"/>
        <v>Standard</v>
      </c>
      <c r="J503" s="2" t="s">
        <v>55</v>
      </c>
      <c r="K503" s="2" t="s">
        <v>57</v>
      </c>
      <c r="L503" s="4">
        <v>2</v>
      </c>
      <c r="M503" s="4">
        <v>97.43</v>
      </c>
      <c r="N503" s="4">
        <v>194.86</v>
      </c>
      <c r="O503" s="2" t="s">
        <v>26</v>
      </c>
      <c r="P503" t="str">
        <f>IF('Cleaned Data'!N503&gt;JOTTING!F516,"High Sales","Low Sales")</f>
        <v>High Sales</v>
      </c>
    </row>
    <row r="504" spans="2:16" ht="15" x14ac:dyDescent="0.25">
      <c r="B504" s="2" t="s">
        <v>549</v>
      </c>
      <c r="C504" s="2" t="s">
        <v>755</v>
      </c>
      <c r="D504" s="7">
        <v>2023</v>
      </c>
      <c r="E504" s="7" t="s">
        <v>767</v>
      </c>
      <c r="F504" s="3">
        <v>45011</v>
      </c>
      <c r="G504" s="4">
        <v>380</v>
      </c>
      <c r="H504" s="4">
        <v>6</v>
      </c>
      <c r="I504" s="4" t="str">
        <f t="shared" si="7"/>
        <v>Standard</v>
      </c>
      <c r="J504" s="2" t="s">
        <v>63</v>
      </c>
      <c r="K504" s="2" t="s">
        <v>57</v>
      </c>
      <c r="L504" s="4">
        <v>3</v>
      </c>
      <c r="M504" s="4">
        <v>394</v>
      </c>
      <c r="N504" s="4">
        <v>1182</v>
      </c>
      <c r="O504" s="2" t="s">
        <v>43</v>
      </c>
      <c r="P504" t="str">
        <f>IF('Cleaned Data'!N504&gt;JOTTING!F517,"High Sales","Low Sales")</f>
        <v>High Sales</v>
      </c>
    </row>
    <row r="505" spans="2:16" ht="15" x14ac:dyDescent="0.25">
      <c r="B505" s="2" t="s">
        <v>550</v>
      </c>
      <c r="C505" s="2" t="s">
        <v>755</v>
      </c>
      <c r="D505" s="7">
        <v>2023</v>
      </c>
      <c r="E505" s="7" t="s">
        <v>762</v>
      </c>
      <c r="F505" s="3">
        <v>45123</v>
      </c>
      <c r="G505" s="4">
        <v>523</v>
      </c>
      <c r="H505" s="4">
        <v>7</v>
      </c>
      <c r="I505" s="4" t="str">
        <f t="shared" si="7"/>
        <v>Slow</v>
      </c>
      <c r="J505" s="2" t="s">
        <v>63</v>
      </c>
      <c r="K505" s="2" t="s">
        <v>49</v>
      </c>
      <c r="L505" s="4">
        <v>3</v>
      </c>
      <c r="M505" s="4">
        <v>234.35</v>
      </c>
      <c r="N505" s="4">
        <v>703.05</v>
      </c>
      <c r="O505" s="2" t="s">
        <v>31</v>
      </c>
      <c r="P505" t="str">
        <f>IF('Cleaned Data'!N505&gt;JOTTING!F518,"High Sales","Low Sales")</f>
        <v>High Sales</v>
      </c>
    </row>
    <row r="506" spans="2:16" ht="15" x14ac:dyDescent="0.25">
      <c r="B506" s="2" t="s">
        <v>551</v>
      </c>
      <c r="C506" s="2" t="s">
        <v>755</v>
      </c>
      <c r="D506" s="7">
        <v>2023</v>
      </c>
      <c r="E506" s="7" t="s">
        <v>768</v>
      </c>
      <c r="F506" s="3">
        <v>45147</v>
      </c>
      <c r="G506" s="4">
        <v>955</v>
      </c>
      <c r="H506" s="4">
        <v>2</v>
      </c>
      <c r="I506" s="4" t="str">
        <f t="shared" si="7"/>
        <v>Early</v>
      </c>
      <c r="J506" s="2" t="s">
        <v>51</v>
      </c>
      <c r="K506" s="2" t="s">
        <v>25</v>
      </c>
      <c r="L506" s="4">
        <v>4</v>
      </c>
      <c r="M506" s="4">
        <v>344.83</v>
      </c>
      <c r="N506" s="4">
        <v>1379.32</v>
      </c>
      <c r="O506" s="2" t="s">
        <v>20</v>
      </c>
      <c r="P506" t="str">
        <f>IF('Cleaned Data'!N506&gt;JOTTING!F519,"High Sales","Low Sales")</f>
        <v>High Sales</v>
      </c>
    </row>
    <row r="507" spans="2:16" ht="15" x14ac:dyDescent="0.25">
      <c r="B507" s="2" t="s">
        <v>552</v>
      </c>
      <c r="C507" s="2" t="s">
        <v>753</v>
      </c>
      <c r="D507" s="7">
        <v>2023</v>
      </c>
      <c r="E507" s="7" t="s">
        <v>762</v>
      </c>
      <c r="F507" s="3">
        <v>45123</v>
      </c>
      <c r="G507" s="4">
        <v>369</v>
      </c>
      <c r="H507" s="4">
        <v>5</v>
      </c>
      <c r="I507" s="4" t="str">
        <f t="shared" si="7"/>
        <v>Standard</v>
      </c>
      <c r="J507" s="2" t="s">
        <v>63</v>
      </c>
      <c r="K507" s="2" t="s">
        <v>25</v>
      </c>
      <c r="L507" s="4">
        <v>3</v>
      </c>
      <c r="M507" s="4">
        <v>167.11</v>
      </c>
      <c r="N507" s="4">
        <v>501.33</v>
      </c>
      <c r="O507" s="2" t="s">
        <v>31</v>
      </c>
      <c r="P507" t="str">
        <f>IF('Cleaned Data'!N507&gt;JOTTING!F520,"High Sales","Low Sales")</f>
        <v>High Sales</v>
      </c>
    </row>
    <row r="508" spans="2:16" ht="15" x14ac:dyDescent="0.25">
      <c r="B508" s="2" t="s">
        <v>553</v>
      </c>
      <c r="C508" s="2" t="s">
        <v>753</v>
      </c>
      <c r="D508" s="7">
        <v>2023</v>
      </c>
      <c r="E508" s="7" t="s">
        <v>769</v>
      </c>
      <c r="F508" s="3">
        <v>45025</v>
      </c>
      <c r="G508" s="4">
        <v>253</v>
      </c>
      <c r="H508" s="4">
        <v>4</v>
      </c>
      <c r="I508" s="4" t="str">
        <f t="shared" si="7"/>
        <v>Standard</v>
      </c>
      <c r="J508" s="2" t="s">
        <v>63</v>
      </c>
      <c r="K508" s="2" t="s">
        <v>49</v>
      </c>
      <c r="L508" s="4">
        <v>2</v>
      </c>
      <c r="M508" s="4">
        <v>121.77</v>
      </c>
      <c r="N508" s="4">
        <v>243.54</v>
      </c>
      <c r="O508" s="2" t="s">
        <v>26</v>
      </c>
      <c r="P508" t="str">
        <f>IF('Cleaned Data'!N508&gt;JOTTING!F521,"High Sales","Low Sales")</f>
        <v>High Sales</v>
      </c>
    </row>
    <row r="509" spans="2:16" ht="15" x14ac:dyDescent="0.25">
      <c r="B509" s="2" t="s">
        <v>554</v>
      </c>
      <c r="C509" s="2" t="s">
        <v>756</v>
      </c>
      <c r="D509" s="7">
        <v>2023</v>
      </c>
      <c r="E509" s="7" t="s">
        <v>762</v>
      </c>
      <c r="F509" s="3">
        <v>45118</v>
      </c>
      <c r="G509" s="4">
        <v>713</v>
      </c>
      <c r="H509" s="4">
        <v>3</v>
      </c>
      <c r="I509" s="4" t="str">
        <f t="shared" si="7"/>
        <v>Standard</v>
      </c>
      <c r="J509" s="2" t="s">
        <v>55</v>
      </c>
      <c r="K509" s="2" t="s">
        <v>25</v>
      </c>
      <c r="L509" s="4">
        <v>4</v>
      </c>
      <c r="M509" s="4">
        <v>122.21</v>
      </c>
      <c r="N509" s="4">
        <v>488.84</v>
      </c>
      <c r="O509" s="2" t="s">
        <v>26</v>
      </c>
      <c r="P509" t="str">
        <f>IF('Cleaned Data'!N509&gt;JOTTING!F522,"High Sales","Low Sales")</f>
        <v>High Sales</v>
      </c>
    </row>
    <row r="510" spans="2:16" ht="15" x14ac:dyDescent="0.25">
      <c r="B510" s="2" t="s">
        <v>555</v>
      </c>
      <c r="C510" s="2" t="s">
        <v>757</v>
      </c>
      <c r="D510" s="7">
        <v>2023</v>
      </c>
      <c r="E510" s="7" t="s">
        <v>762</v>
      </c>
      <c r="F510" s="3">
        <v>45113</v>
      </c>
      <c r="G510" s="4">
        <v>826</v>
      </c>
      <c r="H510" s="4">
        <v>7</v>
      </c>
      <c r="I510" s="4" t="str">
        <f t="shared" si="7"/>
        <v>Slow</v>
      </c>
      <c r="J510" s="2" t="s">
        <v>18</v>
      </c>
      <c r="K510" s="2" t="s">
        <v>39</v>
      </c>
      <c r="L510" s="4">
        <v>2</v>
      </c>
      <c r="M510" s="4">
        <v>81.72</v>
      </c>
      <c r="N510" s="4">
        <v>163.44</v>
      </c>
      <c r="O510" s="2" t="s">
        <v>43</v>
      </c>
      <c r="P510" t="str">
        <f>IF('Cleaned Data'!N510&gt;JOTTING!F523,"High Sales","Low Sales")</f>
        <v>High Sales</v>
      </c>
    </row>
    <row r="511" spans="2:16" ht="15" x14ac:dyDescent="0.25">
      <c r="B511" s="2" t="s">
        <v>556</v>
      </c>
      <c r="C511" s="2" t="s">
        <v>755</v>
      </c>
      <c r="D511" s="7">
        <v>2024</v>
      </c>
      <c r="E511" s="7" t="s">
        <v>761</v>
      </c>
      <c r="F511" s="3">
        <v>45296</v>
      </c>
      <c r="G511" s="4">
        <v>761</v>
      </c>
      <c r="H511" s="4">
        <v>6</v>
      </c>
      <c r="I511" s="4" t="str">
        <f t="shared" si="7"/>
        <v>Standard</v>
      </c>
      <c r="J511" s="2" t="s">
        <v>42</v>
      </c>
      <c r="K511" s="2" t="s">
        <v>25</v>
      </c>
      <c r="L511" s="4">
        <v>3</v>
      </c>
      <c r="M511" s="4">
        <v>133.54</v>
      </c>
      <c r="N511" s="4">
        <v>400.62</v>
      </c>
      <c r="O511" s="2" t="s">
        <v>26</v>
      </c>
      <c r="P511" t="str">
        <f>IF('Cleaned Data'!N511&gt;JOTTING!F524,"High Sales","Low Sales")</f>
        <v>High Sales</v>
      </c>
    </row>
    <row r="512" spans="2:16" ht="15" x14ac:dyDescent="0.25">
      <c r="B512" s="2" t="s">
        <v>557</v>
      </c>
      <c r="C512" s="2" t="s">
        <v>753</v>
      </c>
      <c r="D512" s="7">
        <v>2023</v>
      </c>
      <c r="E512" s="7" t="s">
        <v>763</v>
      </c>
      <c r="F512" s="3">
        <v>45261</v>
      </c>
      <c r="G512" s="4">
        <v>182</v>
      </c>
      <c r="H512" s="4">
        <v>7</v>
      </c>
      <c r="I512" s="4" t="str">
        <f t="shared" si="7"/>
        <v>Slow</v>
      </c>
      <c r="J512" s="2" t="s">
        <v>42</v>
      </c>
      <c r="K512" s="2" t="s">
        <v>57</v>
      </c>
      <c r="L512" s="4">
        <v>3</v>
      </c>
      <c r="M512" s="4">
        <v>348.9</v>
      </c>
      <c r="N512" s="4">
        <v>1046.7</v>
      </c>
      <c r="O512" s="2" t="s">
        <v>43</v>
      </c>
      <c r="P512" t="str">
        <f>IF('Cleaned Data'!N512&gt;JOTTING!F525,"High Sales","Low Sales")</f>
        <v>High Sales</v>
      </c>
    </row>
    <row r="513" spans="2:16" ht="15" x14ac:dyDescent="0.25">
      <c r="B513" s="2" t="s">
        <v>558</v>
      </c>
      <c r="C513" s="2" t="s">
        <v>753</v>
      </c>
      <c r="D513" s="7">
        <v>2023</v>
      </c>
      <c r="E513" s="7" t="s">
        <v>765</v>
      </c>
      <c r="F513" s="3">
        <v>45101</v>
      </c>
      <c r="G513" s="4">
        <v>721</v>
      </c>
      <c r="H513" s="4">
        <v>5</v>
      </c>
      <c r="I513" s="4" t="str">
        <f t="shared" si="7"/>
        <v>Standard</v>
      </c>
      <c r="J513" s="2" t="s">
        <v>30</v>
      </c>
      <c r="K513" s="2" t="s">
        <v>39</v>
      </c>
      <c r="L513" s="4">
        <v>2</v>
      </c>
      <c r="M513" s="4">
        <v>446.76</v>
      </c>
      <c r="N513" s="4">
        <v>893.52</v>
      </c>
      <c r="O513" s="2" t="s">
        <v>20</v>
      </c>
      <c r="P513" t="str">
        <f>IF('Cleaned Data'!N513&gt;JOTTING!F526,"High Sales","Low Sales")</f>
        <v>High Sales</v>
      </c>
    </row>
    <row r="514" spans="2:16" ht="15" x14ac:dyDescent="0.25">
      <c r="B514" s="2" t="s">
        <v>559</v>
      </c>
      <c r="C514" s="2" t="s">
        <v>756</v>
      </c>
      <c r="D514" s="7">
        <v>2023</v>
      </c>
      <c r="E514" s="7" t="s">
        <v>768</v>
      </c>
      <c r="F514" s="3">
        <v>45160</v>
      </c>
      <c r="G514" s="4">
        <v>998</v>
      </c>
      <c r="H514" s="4">
        <v>6</v>
      </c>
      <c r="I514" s="4" t="str">
        <f t="shared" si="7"/>
        <v>Standard</v>
      </c>
      <c r="J514" s="2" t="s">
        <v>55</v>
      </c>
      <c r="K514" s="2" t="s">
        <v>57</v>
      </c>
      <c r="L514" s="4">
        <v>1</v>
      </c>
      <c r="M514" s="4">
        <v>416.36</v>
      </c>
      <c r="N514" s="4">
        <v>416.36</v>
      </c>
      <c r="O514" s="2" t="s">
        <v>26</v>
      </c>
      <c r="P514" t="str">
        <f>IF('Cleaned Data'!N514&gt;JOTTING!F527,"High Sales","Low Sales")</f>
        <v>High Sales</v>
      </c>
    </row>
    <row r="515" spans="2:16" ht="15" x14ac:dyDescent="0.25">
      <c r="B515" s="2" t="s">
        <v>560</v>
      </c>
      <c r="C515" s="2" t="s">
        <v>753</v>
      </c>
      <c r="D515" s="7">
        <v>2023</v>
      </c>
      <c r="E515" s="7" t="s">
        <v>770</v>
      </c>
      <c r="F515" s="3">
        <v>45204</v>
      </c>
      <c r="G515" s="4">
        <v>525</v>
      </c>
      <c r="H515" s="4">
        <v>5</v>
      </c>
      <c r="I515" s="4" t="str">
        <f t="shared" ref="I515:I578" si="8">_xlfn.IFS(H515&lt;3,"Early",H515&lt;=6,"Standard",H515&lt;=9,"Slow")</f>
        <v>Standard</v>
      </c>
      <c r="J515" s="2" t="s">
        <v>18</v>
      </c>
      <c r="K515" s="2" t="s">
        <v>57</v>
      </c>
      <c r="L515" s="4">
        <v>3</v>
      </c>
      <c r="M515" s="4">
        <v>358.31</v>
      </c>
      <c r="N515" s="4">
        <v>1074.93</v>
      </c>
      <c r="O515" s="2" t="s">
        <v>43</v>
      </c>
      <c r="P515" t="str">
        <f>IF('Cleaned Data'!N515&gt;JOTTING!F528,"High Sales","Low Sales")</f>
        <v>High Sales</v>
      </c>
    </row>
    <row r="516" spans="2:16" ht="15" x14ac:dyDescent="0.25">
      <c r="B516" s="2" t="s">
        <v>561</v>
      </c>
      <c r="C516" s="2" t="s">
        <v>756</v>
      </c>
      <c r="D516" s="7">
        <v>2023</v>
      </c>
      <c r="E516" s="7" t="s">
        <v>761</v>
      </c>
      <c r="F516" s="3">
        <v>44946</v>
      </c>
      <c r="G516" s="4">
        <v>374</v>
      </c>
      <c r="H516" s="4">
        <v>7</v>
      </c>
      <c r="I516" s="4" t="str">
        <f t="shared" si="8"/>
        <v>Slow</v>
      </c>
      <c r="J516" s="2" t="s">
        <v>42</v>
      </c>
      <c r="K516" s="2" t="s">
        <v>49</v>
      </c>
      <c r="L516" s="4">
        <v>1</v>
      </c>
      <c r="M516" s="4">
        <v>99.69</v>
      </c>
      <c r="N516" s="4">
        <v>99.69</v>
      </c>
      <c r="O516" s="2" t="s">
        <v>31</v>
      </c>
      <c r="P516" t="str">
        <f>IF('Cleaned Data'!N516&gt;JOTTING!F529,"High Sales","Low Sales")</f>
        <v>High Sales</v>
      </c>
    </row>
    <row r="517" spans="2:16" ht="15" x14ac:dyDescent="0.25">
      <c r="B517" s="2" t="s">
        <v>562</v>
      </c>
      <c r="C517" s="2" t="s">
        <v>756</v>
      </c>
      <c r="D517" s="7">
        <v>2023</v>
      </c>
      <c r="E517" s="7" t="s">
        <v>759</v>
      </c>
      <c r="F517" s="3">
        <v>45255</v>
      </c>
      <c r="G517" s="4">
        <v>812</v>
      </c>
      <c r="H517" s="4">
        <v>2</v>
      </c>
      <c r="I517" s="4" t="str">
        <f t="shared" si="8"/>
        <v>Early</v>
      </c>
      <c r="J517" s="2" t="s">
        <v>30</v>
      </c>
      <c r="K517" s="2" t="s">
        <v>49</v>
      </c>
      <c r="L517" s="4">
        <v>3</v>
      </c>
      <c r="M517" s="4">
        <v>180.13</v>
      </c>
      <c r="N517" s="4">
        <v>540.39</v>
      </c>
      <c r="O517" s="2" t="s">
        <v>43</v>
      </c>
      <c r="P517" t="str">
        <f>IF('Cleaned Data'!N517&gt;JOTTING!F530,"High Sales","Low Sales")</f>
        <v>High Sales</v>
      </c>
    </row>
    <row r="518" spans="2:16" ht="15" x14ac:dyDescent="0.25">
      <c r="B518" s="2" t="s">
        <v>563</v>
      </c>
      <c r="C518" s="2" t="s">
        <v>756</v>
      </c>
      <c r="D518" s="7">
        <v>2023</v>
      </c>
      <c r="E518" s="7" t="s">
        <v>759</v>
      </c>
      <c r="F518" s="3">
        <v>45245</v>
      </c>
      <c r="G518" s="4">
        <v>383</v>
      </c>
      <c r="H518" s="4">
        <v>5</v>
      </c>
      <c r="I518" s="4" t="str">
        <f t="shared" si="8"/>
        <v>Standard</v>
      </c>
      <c r="J518" s="2" t="s">
        <v>51</v>
      </c>
      <c r="K518" s="2" t="s">
        <v>39</v>
      </c>
      <c r="L518" s="4">
        <v>1</v>
      </c>
      <c r="M518" s="4">
        <v>189.41</v>
      </c>
      <c r="N518" s="4">
        <v>189.41</v>
      </c>
      <c r="O518" s="2" t="s">
        <v>31</v>
      </c>
      <c r="P518" t="str">
        <f>IF('Cleaned Data'!N518&gt;JOTTING!F531,"High Sales","Low Sales")</f>
        <v>High Sales</v>
      </c>
    </row>
    <row r="519" spans="2:16" ht="15" x14ac:dyDescent="0.25">
      <c r="B519" s="2" t="s">
        <v>564</v>
      </c>
      <c r="C519" s="2" t="s">
        <v>754</v>
      </c>
      <c r="D519" s="7">
        <v>2023</v>
      </c>
      <c r="E519" s="7" t="s">
        <v>765</v>
      </c>
      <c r="F519" s="3">
        <v>45099</v>
      </c>
      <c r="G519" s="4">
        <v>272</v>
      </c>
      <c r="H519" s="4">
        <v>6</v>
      </c>
      <c r="I519" s="4" t="str">
        <f t="shared" si="8"/>
        <v>Standard</v>
      </c>
      <c r="J519" s="2" t="s">
        <v>18</v>
      </c>
      <c r="K519" s="2" t="s">
        <v>49</v>
      </c>
      <c r="L519" s="4">
        <v>1</v>
      </c>
      <c r="M519" s="4">
        <v>162.47999999999999</v>
      </c>
      <c r="N519" s="4">
        <v>162.47999999999999</v>
      </c>
      <c r="O519" s="2" t="s">
        <v>20</v>
      </c>
      <c r="P519" t="str">
        <f>IF('Cleaned Data'!N519&gt;JOTTING!F532,"High Sales","Low Sales")</f>
        <v>High Sales</v>
      </c>
    </row>
    <row r="520" spans="2:16" ht="15" x14ac:dyDescent="0.25">
      <c r="B520" s="2" t="s">
        <v>565</v>
      </c>
      <c r="C520" s="2" t="s">
        <v>757</v>
      </c>
      <c r="D520" s="7">
        <v>2023</v>
      </c>
      <c r="E520" s="7" t="s">
        <v>760</v>
      </c>
      <c r="F520" s="3">
        <v>45075</v>
      </c>
      <c r="G520" s="4">
        <v>426</v>
      </c>
      <c r="H520" s="4">
        <v>6</v>
      </c>
      <c r="I520" s="4" t="str">
        <f t="shared" si="8"/>
        <v>Standard</v>
      </c>
      <c r="J520" s="2" t="s">
        <v>24</v>
      </c>
      <c r="K520" s="2" t="s">
        <v>19</v>
      </c>
      <c r="L520" s="4">
        <v>1</v>
      </c>
      <c r="M520" s="4">
        <v>281.75</v>
      </c>
      <c r="N520" s="4">
        <v>281.75</v>
      </c>
      <c r="O520" s="2" t="s">
        <v>26</v>
      </c>
      <c r="P520" t="str">
        <f>IF('Cleaned Data'!N520&gt;JOTTING!F533,"High Sales","Low Sales")</f>
        <v>High Sales</v>
      </c>
    </row>
    <row r="521" spans="2:16" ht="15" x14ac:dyDescent="0.25">
      <c r="B521" s="2" t="s">
        <v>566</v>
      </c>
      <c r="C521" s="2" t="s">
        <v>755</v>
      </c>
      <c r="D521" s="7">
        <v>2023</v>
      </c>
      <c r="E521" s="7" t="s">
        <v>769</v>
      </c>
      <c r="F521" s="3">
        <v>45031</v>
      </c>
      <c r="G521" s="4">
        <v>817</v>
      </c>
      <c r="H521" s="4">
        <v>5</v>
      </c>
      <c r="I521" s="4" t="str">
        <f t="shared" si="8"/>
        <v>Standard</v>
      </c>
      <c r="J521" s="2" t="s">
        <v>30</v>
      </c>
      <c r="K521" s="2" t="s">
        <v>49</v>
      </c>
      <c r="L521" s="4">
        <v>2</v>
      </c>
      <c r="M521" s="4">
        <v>291</v>
      </c>
      <c r="N521" s="4">
        <v>582</v>
      </c>
      <c r="O521" s="2" t="s">
        <v>31</v>
      </c>
      <c r="P521" t="str">
        <f>IF('Cleaned Data'!N521&gt;JOTTING!F534,"High Sales","Low Sales")</f>
        <v>High Sales</v>
      </c>
    </row>
    <row r="522" spans="2:16" ht="15" x14ac:dyDescent="0.25">
      <c r="B522" s="2" t="s">
        <v>567</v>
      </c>
      <c r="C522" s="2" t="s">
        <v>754</v>
      </c>
      <c r="D522" s="7">
        <v>2023</v>
      </c>
      <c r="E522" s="7" t="s">
        <v>765</v>
      </c>
      <c r="F522" s="3">
        <v>45107</v>
      </c>
      <c r="G522" s="4">
        <v>162</v>
      </c>
      <c r="H522" s="4">
        <v>7</v>
      </c>
      <c r="I522" s="4" t="str">
        <f t="shared" si="8"/>
        <v>Slow</v>
      </c>
      <c r="J522" s="2" t="s">
        <v>42</v>
      </c>
      <c r="K522" s="2" t="s">
        <v>49</v>
      </c>
      <c r="L522" s="4">
        <v>1</v>
      </c>
      <c r="M522" s="4">
        <v>210.6</v>
      </c>
      <c r="N522" s="4">
        <v>210.6</v>
      </c>
      <c r="O522" s="2" t="s">
        <v>26</v>
      </c>
      <c r="P522" t="str">
        <f>IF('Cleaned Data'!N522&gt;JOTTING!F535,"High Sales","Low Sales")</f>
        <v>High Sales</v>
      </c>
    </row>
    <row r="523" spans="2:16" ht="15" x14ac:dyDescent="0.25">
      <c r="B523" s="2" t="s">
        <v>568</v>
      </c>
      <c r="C523" s="2" t="s">
        <v>757</v>
      </c>
      <c r="D523" s="7">
        <v>2023</v>
      </c>
      <c r="E523" s="7" t="s">
        <v>761</v>
      </c>
      <c r="F523" s="3">
        <v>44951</v>
      </c>
      <c r="G523" s="4">
        <v>172</v>
      </c>
      <c r="H523" s="4">
        <v>8</v>
      </c>
      <c r="I523" s="4" t="str">
        <f t="shared" si="8"/>
        <v>Slow</v>
      </c>
      <c r="J523" s="2" t="s">
        <v>51</v>
      </c>
      <c r="K523" s="2" t="s">
        <v>25</v>
      </c>
      <c r="L523" s="4">
        <v>1</v>
      </c>
      <c r="M523" s="4">
        <v>209.21</v>
      </c>
      <c r="N523" s="4">
        <v>209.21</v>
      </c>
      <c r="O523" s="2" t="s">
        <v>26</v>
      </c>
      <c r="P523" t="str">
        <f>IF('Cleaned Data'!N523&gt;JOTTING!F536,"High Sales","Low Sales")</f>
        <v>High Sales</v>
      </c>
    </row>
    <row r="524" spans="2:16" ht="15" x14ac:dyDescent="0.25">
      <c r="B524" s="2" t="s">
        <v>569</v>
      </c>
      <c r="C524" s="2" t="s">
        <v>753</v>
      </c>
      <c r="D524" s="7">
        <v>2023</v>
      </c>
      <c r="E524" s="7" t="s">
        <v>759</v>
      </c>
      <c r="F524" s="3">
        <v>45245</v>
      </c>
      <c r="G524" s="4">
        <v>862</v>
      </c>
      <c r="H524" s="4">
        <v>7</v>
      </c>
      <c r="I524" s="4" t="str">
        <f t="shared" si="8"/>
        <v>Slow</v>
      </c>
      <c r="J524" s="2" t="s">
        <v>51</v>
      </c>
      <c r="K524" s="2" t="s">
        <v>49</v>
      </c>
      <c r="L524" s="4">
        <v>1</v>
      </c>
      <c r="M524" s="4">
        <v>422.85</v>
      </c>
      <c r="N524" s="4">
        <v>422.85</v>
      </c>
      <c r="O524" s="2" t="s">
        <v>43</v>
      </c>
      <c r="P524" t="str">
        <f>IF('Cleaned Data'!N524&gt;JOTTING!F537,"High Sales","Low Sales")</f>
        <v>High Sales</v>
      </c>
    </row>
    <row r="525" spans="2:16" ht="15" x14ac:dyDescent="0.25">
      <c r="B525" s="2" t="s">
        <v>570</v>
      </c>
      <c r="C525" s="2" t="s">
        <v>755</v>
      </c>
      <c r="D525" s="7">
        <v>2023</v>
      </c>
      <c r="E525" s="7" t="s">
        <v>761</v>
      </c>
      <c r="F525" s="3">
        <v>44944</v>
      </c>
      <c r="G525" s="4">
        <v>735</v>
      </c>
      <c r="H525" s="4">
        <v>5</v>
      </c>
      <c r="I525" s="4" t="str">
        <f t="shared" si="8"/>
        <v>Standard</v>
      </c>
      <c r="J525" s="2" t="s">
        <v>51</v>
      </c>
      <c r="K525" s="2" t="s">
        <v>25</v>
      </c>
      <c r="L525" s="4">
        <v>3</v>
      </c>
      <c r="M525" s="4">
        <v>405.18</v>
      </c>
      <c r="N525" s="4">
        <v>1215.54</v>
      </c>
      <c r="O525" s="2" t="s">
        <v>20</v>
      </c>
      <c r="P525" t="str">
        <f>IF('Cleaned Data'!N525&gt;JOTTING!F538,"High Sales","Low Sales")</f>
        <v>High Sales</v>
      </c>
    </row>
    <row r="526" spans="2:16" ht="15" x14ac:dyDescent="0.25">
      <c r="B526" s="2" t="s">
        <v>571</v>
      </c>
      <c r="C526" s="2" t="s">
        <v>754</v>
      </c>
      <c r="D526" s="7">
        <v>2023</v>
      </c>
      <c r="E526" s="7" t="s">
        <v>760</v>
      </c>
      <c r="F526" s="3">
        <v>45048</v>
      </c>
      <c r="G526" s="4">
        <v>474</v>
      </c>
      <c r="H526" s="4">
        <v>1</v>
      </c>
      <c r="I526" s="4" t="str">
        <f t="shared" si="8"/>
        <v>Early</v>
      </c>
      <c r="J526" s="2" t="s">
        <v>55</v>
      </c>
      <c r="K526" s="2" t="s">
        <v>57</v>
      </c>
      <c r="L526" s="4">
        <v>1</v>
      </c>
      <c r="M526" s="4">
        <v>188.51</v>
      </c>
      <c r="N526" s="4">
        <v>188.51</v>
      </c>
      <c r="O526" s="2" t="s">
        <v>26</v>
      </c>
      <c r="P526" t="str">
        <f>IF('Cleaned Data'!N526&gt;JOTTING!F539,"High Sales","Low Sales")</f>
        <v>High Sales</v>
      </c>
    </row>
    <row r="527" spans="2:16" ht="15" x14ac:dyDescent="0.25">
      <c r="B527" s="2" t="s">
        <v>572</v>
      </c>
      <c r="C527" s="2" t="s">
        <v>757</v>
      </c>
      <c r="D527" s="7">
        <v>2023</v>
      </c>
      <c r="E527" s="7" t="s">
        <v>763</v>
      </c>
      <c r="F527" s="3">
        <v>45272</v>
      </c>
      <c r="G527" s="4">
        <v>732</v>
      </c>
      <c r="H527" s="4">
        <v>5</v>
      </c>
      <c r="I527" s="4" t="str">
        <f t="shared" si="8"/>
        <v>Standard</v>
      </c>
      <c r="J527" s="2" t="s">
        <v>55</v>
      </c>
      <c r="K527" s="2" t="s">
        <v>39</v>
      </c>
      <c r="L527" s="4">
        <v>3</v>
      </c>
      <c r="M527" s="4">
        <v>461.2</v>
      </c>
      <c r="N527" s="4">
        <v>1383.6</v>
      </c>
      <c r="O527" s="2" t="s">
        <v>26</v>
      </c>
      <c r="P527" t="str">
        <f>IF('Cleaned Data'!N527&gt;JOTTING!F540,"High Sales","Low Sales")</f>
        <v>High Sales</v>
      </c>
    </row>
    <row r="528" spans="2:16" ht="15" x14ac:dyDescent="0.25">
      <c r="B528" s="2" t="s">
        <v>573</v>
      </c>
      <c r="C528" s="2" t="s">
        <v>754</v>
      </c>
      <c r="D528" s="7">
        <v>2023</v>
      </c>
      <c r="E528" s="7" t="s">
        <v>766</v>
      </c>
      <c r="F528" s="3">
        <v>45197</v>
      </c>
      <c r="G528" s="4">
        <v>607</v>
      </c>
      <c r="H528" s="4">
        <v>2</v>
      </c>
      <c r="I528" s="4" t="str">
        <f t="shared" si="8"/>
        <v>Early</v>
      </c>
      <c r="J528" s="2" t="s">
        <v>18</v>
      </c>
      <c r="K528" s="2" t="s">
        <v>49</v>
      </c>
      <c r="L528" s="4">
        <v>1</v>
      </c>
      <c r="M528" s="4">
        <v>478.77</v>
      </c>
      <c r="N528" s="4">
        <v>478.77</v>
      </c>
      <c r="O528" s="2" t="s">
        <v>31</v>
      </c>
      <c r="P528" t="str">
        <f>IF('Cleaned Data'!N528&gt;JOTTING!F541,"High Sales","Low Sales")</f>
        <v>High Sales</v>
      </c>
    </row>
    <row r="529" spans="2:16" ht="15" x14ac:dyDescent="0.25">
      <c r="B529" s="2" t="s">
        <v>574</v>
      </c>
      <c r="C529" s="2" t="s">
        <v>757</v>
      </c>
      <c r="D529" s="7">
        <v>2023</v>
      </c>
      <c r="E529" s="7" t="s">
        <v>769</v>
      </c>
      <c r="F529" s="3">
        <v>45034</v>
      </c>
      <c r="G529" s="4">
        <v>886</v>
      </c>
      <c r="H529" s="4">
        <v>5</v>
      </c>
      <c r="I529" s="4" t="str">
        <f t="shared" si="8"/>
        <v>Standard</v>
      </c>
      <c r="J529" s="2" t="s">
        <v>55</v>
      </c>
      <c r="K529" s="2" t="s">
        <v>57</v>
      </c>
      <c r="L529" s="4">
        <v>1</v>
      </c>
      <c r="M529" s="4">
        <v>197.03</v>
      </c>
      <c r="N529" s="4">
        <v>197.03</v>
      </c>
      <c r="O529" s="2" t="s">
        <v>43</v>
      </c>
      <c r="P529" t="str">
        <f>IF('Cleaned Data'!N529&gt;JOTTING!F542,"High Sales","Low Sales")</f>
        <v>High Sales</v>
      </c>
    </row>
    <row r="530" spans="2:16" ht="15" x14ac:dyDescent="0.25">
      <c r="B530" s="2" t="s">
        <v>161</v>
      </c>
      <c r="C530" s="2" t="s">
        <v>755</v>
      </c>
      <c r="D530" s="7">
        <v>2023</v>
      </c>
      <c r="E530" s="7" t="s">
        <v>769</v>
      </c>
      <c r="F530" s="3">
        <v>45024</v>
      </c>
      <c r="G530" s="4">
        <v>497</v>
      </c>
      <c r="H530" s="4">
        <v>5</v>
      </c>
      <c r="I530" s="4" t="str">
        <f t="shared" si="8"/>
        <v>Standard</v>
      </c>
      <c r="J530" s="2" t="s">
        <v>30</v>
      </c>
      <c r="K530" s="2" t="s">
        <v>39</v>
      </c>
      <c r="L530" s="4">
        <v>2</v>
      </c>
      <c r="M530" s="4">
        <v>209.49</v>
      </c>
      <c r="N530" s="4">
        <v>418.98</v>
      </c>
      <c r="O530" s="2" t="s">
        <v>43</v>
      </c>
      <c r="P530" t="str">
        <f>IF('Cleaned Data'!N530&gt;JOTTING!F543,"High Sales","Low Sales")</f>
        <v>High Sales</v>
      </c>
    </row>
    <row r="531" spans="2:16" ht="15" x14ac:dyDescent="0.25">
      <c r="B531" s="2" t="s">
        <v>575</v>
      </c>
      <c r="C531" s="2" t="s">
        <v>754</v>
      </c>
      <c r="D531" s="7">
        <v>2023</v>
      </c>
      <c r="E531" s="7" t="s">
        <v>761</v>
      </c>
      <c r="F531" s="3">
        <v>44930</v>
      </c>
      <c r="G531" s="4">
        <v>219</v>
      </c>
      <c r="H531" s="4">
        <v>2</v>
      </c>
      <c r="I531" s="4" t="str">
        <f t="shared" si="8"/>
        <v>Early</v>
      </c>
      <c r="J531" s="2" t="s">
        <v>51</v>
      </c>
      <c r="K531" s="2" t="s">
        <v>39</v>
      </c>
      <c r="L531" s="4">
        <v>3</v>
      </c>
      <c r="M531" s="4">
        <v>277.54000000000002</v>
      </c>
      <c r="N531" s="4">
        <v>832.62</v>
      </c>
      <c r="O531" s="2" t="s">
        <v>43</v>
      </c>
      <c r="P531" t="str">
        <f>IF('Cleaned Data'!N531&gt;JOTTING!F544,"High Sales","Low Sales")</f>
        <v>High Sales</v>
      </c>
    </row>
    <row r="532" spans="2:16" ht="15" x14ac:dyDescent="0.25">
      <c r="B532" s="2" t="s">
        <v>576</v>
      </c>
      <c r="C532" s="2" t="s">
        <v>756</v>
      </c>
      <c r="D532" s="7">
        <v>2023</v>
      </c>
      <c r="E532" s="7" t="s">
        <v>766</v>
      </c>
      <c r="F532" s="3">
        <v>45185</v>
      </c>
      <c r="G532" s="4">
        <v>536</v>
      </c>
      <c r="H532" s="4">
        <v>5</v>
      </c>
      <c r="I532" s="4" t="str">
        <f t="shared" si="8"/>
        <v>Standard</v>
      </c>
      <c r="J532" s="2" t="s">
        <v>30</v>
      </c>
      <c r="K532" s="2" t="s">
        <v>39</v>
      </c>
      <c r="L532" s="4">
        <v>1</v>
      </c>
      <c r="M532" s="4">
        <v>473.5</v>
      </c>
      <c r="N532" s="4">
        <v>473.5</v>
      </c>
      <c r="O532" s="2" t="s">
        <v>26</v>
      </c>
      <c r="P532" t="str">
        <f>IF('Cleaned Data'!N532&gt;JOTTING!F545,"High Sales","Low Sales")</f>
        <v>High Sales</v>
      </c>
    </row>
    <row r="533" spans="2:16" ht="15" x14ac:dyDescent="0.25">
      <c r="B533" s="2" t="s">
        <v>577</v>
      </c>
      <c r="C533" s="2" t="s">
        <v>753</v>
      </c>
      <c r="D533" s="7">
        <v>2023</v>
      </c>
      <c r="E533" s="7" t="s">
        <v>761</v>
      </c>
      <c r="F533" s="3">
        <v>44948</v>
      </c>
      <c r="G533" s="4">
        <v>928</v>
      </c>
      <c r="H533" s="4">
        <v>4</v>
      </c>
      <c r="I533" s="4" t="str">
        <f t="shared" si="8"/>
        <v>Standard</v>
      </c>
      <c r="J533" s="2" t="s">
        <v>63</v>
      </c>
      <c r="K533" s="2" t="s">
        <v>57</v>
      </c>
      <c r="L533" s="4">
        <v>3</v>
      </c>
      <c r="M533" s="4">
        <v>444.34</v>
      </c>
      <c r="N533" s="4">
        <v>1333.02</v>
      </c>
      <c r="O533" s="2" t="s">
        <v>20</v>
      </c>
      <c r="P533" t="str">
        <f>IF('Cleaned Data'!N533&gt;JOTTING!F546,"High Sales","Low Sales")</f>
        <v>High Sales</v>
      </c>
    </row>
    <row r="534" spans="2:16" ht="15" x14ac:dyDescent="0.25">
      <c r="B534" s="2" t="s">
        <v>578</v>
      </c>
      <c r="C534" s="2" t="s">
        <v>754</v>
      </c>
      <c r="D534" s="7">
        <v>2023</v>
      </c>
      <c r="E534" s="7" t="s">
        <v>762</v>
      </c>
      <c r="F534" s="3">
        <v>45122</v>
      </c>
      <c r="G534" s="4">
        <v>775</v>
      </c>
      <c r="H534" s="4">
        <v>1</v>
      </c>
      <c r="I534" s="4" t="str">
        <f t="shared" si="8"/>
        <v>Early</v>
      </c>
      <c r="J534" s="2" t="s">
        <v>30</v>
      </c>
      <c r="K534" s="2" t="s">
        <v>49</v>
      </c>
      <c r="L534" s="4">
        <v>3</v>
      </c>
      <c r="M534" s="4">
        <v>96.16</v>
      </c>
      <c r="N534" s="4">
        <v>288.48</v>
      </c>
      <c r="O534" s="2" t="s">
        <v>26</v>
      </c>
      <c r="P534" t="str">
        <f>IF('Cleaned Data'!N534&gt;JOTTING!F547,"High Sales","Low Sales")</f>
        <v>High Sales</v>
      </c>
    </row>
    <row r="535" spans="2:16" ht="15" x14ac:dyDescent="0.25">
      <c r="B535" s="2" t="s">
        <v>579</v>
      </c>
      <c r="C535" s="2" t="s">
        <v>757</v>
      </c>
      <c r="D535" s="7">
        <v>2023</v>
      </c>
      <c r="E535" s="7" t="s">
        <v>763</v>
      </c>
      <c r="F535" s="3">
        <v>45281</v>
      </c>
      <c r="G535" s="4">
        <v>564</v>
      </c>
      <c r="H535" s="4">
        <v>3</v>
      </c>
      <c r="I535" s="4" t="str">
        <f t="shared" si="8"/>
        <v>Standard</v>
      </c>
      <c r="J535" s="2" t="s">
        <v>18</v>
      </c>
      <c r="K535" s="2" t="s">
        <v>57</v>
      </c>
      <c r="L535" s="4">
        <v>4</v>
      </c>
      <c r="M535" s="4">
        <v>226.73</v>
      </c>
      <c r="N535" s="4">
        <v>906.92</v>
      </c>
      <c r="O535" s="2" t="s">
        <v>26</v>
      </c>
      <c r="P535" t="str">
        <f>IF('Cleaned Data'!N535&gt;JOTTING!F548,"High Sales","Low Sales")</f>
        <v>High Sales</v>
      </c>
    </row>
    <row r="536" spans="2:16" ht="15" x14ac:dyDescent="0.25">
      <c r="B536" s="2" t="s">
        <v>580</v>
      </c>
      <c r="C536" s="2" t="s">
        <v>757</v>
      </c>
      <c r="D536" s="7">
        <v>2023</v>
      </c>
      <c r="E536" s="7" t="s">
        <v>764</v>
      </c>
      <c r="F536" s="3">
        <v>44967</v>
      </c>
      <c r="G536" s="4">
        <v>385</v>
      </c>
      <c r="H536" s="4">
        <v>1</v>
      </c>
      <c r="I536" s="4" t="str">
        <f t="shared" si="8"/>
        <v>Early</v>
      </c>
      <c r="J536" s="2" t="s">
        <v>42</v>
      </c>
      <c r="K536" s="2" t="s">
        <v>39</v>
      </c>
      <c r="L536" s="4">
        <v>2</v>
      </c>
      <c r="M536" s="4">
        <v>299.02</v>
      </c>
      <c r="N536" s="4">
        <v>598.04</v>
      </c>
      <c r="O536" s="2" t="s">
        <v>43</v>
      </c>
      <c r="P536" t="str">
        <f>IF('Cleaned Data'!N536&gt;JOTTING!F549,"High Sales","Low Sales")</f>
        <v>High Sales</v>
      </c>
    </row>
    <row r="537" spans="2:16" ht="15" x14ac:dyDescent="0.25">
      <c r="B537" s="2" t="s">
        <v>581</v>
      </c>
      <c r="C537" s="2" t="s">
        <v>757</v>
      </c>
      <c r="D537" s="7">
        <v>2023</v>
      </c>
      <c r="E537" s="7" t="s">
        <v>759</v>
      </c>
      <c r="F537" s="3">
        <v>45258</v>
      </c>
      <c r="G537" s="4">
        <v>364</v>
      </c>
      <c r="H537" s="4">
        <v>5</v>
      </c>
      <c r="I537" s="4" t="str">
        <f t="shared" si="8"/>
        <v>Standard</v>
      </c>
      <c r="J537" s="2" t="s">
        <v>55</v>
      </c>
      <c r="K537" s="2" t="s">
        <v>39</v>
      </c>
      <c r="L537" s="4">
        <v>2</v>
      </c>
      <c r="M537" s="4">
        <v>276.41000000000003</v>
      </c>
      <c r="N537" s="4">
        <v>552.82000000000005</v>
      </c>
      <c r="O537" s="2" t="s">
        <v>43</v>
      </c>
      <c r="P537" t="str">
        <f>IF('Cleaned Data'!N537&gt;JOTTING!F550,"High Sales","Low Sales")</f>
        <v>High Sales</v>
      </c>
    </row>
    <row r="538" spans="2:16" ht="15" x14ac:dyDescent="0.25">
      <c r="B538" s="2" t="s">
        <v>582</v>
      </c>
      <c r="C538" s="2" t="s">
        <v>757</v>
      </c>
      <c r="D538" s="7">
        <v>2024</v>
      </c>
      <c r="E538" s="7" t="s">
        <v>761</v>
      </c>
      <c r="F538" s="3">
        <v>45292</v>
      </c>
      <c r="G538" s="4">
        <v>419</v>
      </c>
      <c r="H538" s="4">
        <v>4</v>
      </c>
      <c r="I538" s="4" t="str">
        <f t="shared" si="8"/>
        <v>Standard</v>
      </c>
      <c r="J538" s="2" t="s">
        <v>24</v>
      </c>
      <c r="K538" s="2" t="s">
        <v>49</v>
      </c>
      <c r="L538" s="4">
        <v>2</v>
      </c>
      <c r="M538" s="4">
        <v>137.24</v>
      </c>
      <c r="N538" s="4">
        <v>274.48</v>
      </c>
      <c r="O538" s="2" t="s">
        <v>43</v>
      </c>
      <c r="P538" t="str">
        <f>IF('Cleaned Data'!N538&gt;JOTTING!F551,"High Sales","Low Sales")</f>
        <v>High Sales</v>
      </c>
    </row>
    <row r="539" spans="2:16" ht="15" x14ac:dyDescent="0.25">
      <c r="B539" s="2" t="s">
        <v>583</v>
      </c>
      <c r="C539" s="2" t="s">
        <v>755</v>
      </c>
      <c r="D539" s="7">
        <v>2023</v>
      </c>
      <c r="E539" s="7" t="s">
        <v>761</v>
      </c>
      <c r="F539" s="3">
        <v>44956</v>
      </c>
      <c r="G539" s="4">
        <v>772</v>
      </c>
      <c r="H539" s="4">
        <v>7</v>
      </c>
      <c r="I539" s="4" t="str">
        <f t="shared" si="8"/>
        <v>Slow</v>
      </c>
      <c r="J539" s="2" t="s">
        <v>24</v>
      </c>
      <c r="K539" s="2" t="s">
        <v>57</v>
      </c>
      <c r="L539" s="4">
        <v>4</v>
      </c>
      <c r="M539" s="4">
        <v>436.47</v>
      </c>
      <c r="N539" s="4">
        <v>1745.88</v>
      </c>
      <c r="O539" s="2" t="s">
        <v>20</v>
      </c>
      <c r="P539" t="str">
        <f>IF('Cleaned Data'!N539&gt;JOTTING!F552,"High Sales","Low Sales")</f>
        <v>High Sales</v>
      </c>
    </row>
    <row r="540" spans="2:16" ht="15" x14ac:dyDescent="0.25">
      <c r="B540" s="2" t="s">
        <v>584</v>
      </c>
      <c r="C540" s="2" t="s">
        <v>756</v>
      </c>
      <c r="D540" s="7">
        <v>2023</v>
      </c>
      <c r="E540" s="7" t="s">
        <v>759</v>
      </c>
      <c r="F540" s="3">
        <v>45254</v>
      </c>
      <c r="G540" s="4">
        <v>475</v>
      </c>
      <c r="H540" s="4">
        <v>5</v>
      </c>
      <c r="I540" s="4" t="str">
        <f t="shared" si="8"/>
        <v>Standard</v>
      </c>
      <c r="J540" s="2" t="s">
        <v>42</v>
      </c>
      <c r="K540" s="2" t="s">
        <v>39</v>
      </c>
      <c r="L540" s="4">
        <v>4</v>
      </c>
      <c r="M540" s="4">
        <v>354.62</v>
      </c>
      <c r="N540" s="4">
        <v>1418.48</v>
      </c>
      <c r="O540" s="2" t="s">
        <v>31</v>
      </c>
      <c r="P540" t="str">
        <f>IF('Cleaned Data'!N540&gt;JOTTING!F553,"High Sales","Low Sales")</f>
        <v>High Sales</v>
      </c>
    </row>
    <row r="541" spans="2:16" ht="15" x14ac:dyDescent="0.25">
      <c r="B541" s="2" t="s">
        <v>585</v>
      </c>
      <c r="C541" s="2" t="s">
        <v>757</v>
      </c>
      <c r="D541" s="7">
        <v>2023</v>
      </c>
      <c r="E541" s="7" t="s">
        <v>762</v>
      </c>
      <c r="F541" s="3">
        <v>45119</v>
      </c>
      <c r="G541" s="4">
        <v>919</v>
      </c>
      <c r="H541" s="4">
        <v>4</v>
      </c>
      <c r="I541" s="4" t="str">
        <f t="shared" si="8"/>
        <v>Standard</v>
      </c>
      <c r="J541" s="2" t="s">
        <v>51</v>
      </c>
      <c r="K541" s="2" t="s">
        <v>57</v>
      </c>
      <c r="L541" s="4">
        <v>2</v>
      </c>
      <c r="M541" s="4">
        <v>427.06</v>
      </c>
      <c r="N541" s="4">
        <v>854.12</v>
      </c>
      <c r="O541" s="2" t="s">
        <v>31</v>
      </c>
      <c r="P541" t="str">
        <f>IF('Cleaned Data'!N541&gt;JOTTING!F554,"High Sales","Low Sales")</f>
        <v>High Sales</v>
      </c>
    </row>
    <row r="542" spans="2:16" ht="15" x14ac:dyDescent="0.25">
      <c r="B542" s="2" t="s">
        <v>586</v>
      </c>
      <c r="C542" s="2" t="s">
        <v>757</v>
      </c>
      <c r="D542" s="7">
        <v>2023</v>
      </c>
      <c r="E542" s="7" t="s">
        <v>759</v>
      </c>
      <c r="F542" s="3">
        <v>45259</v>
      </c>
      <c r="G542" s="4">
        <v>188</v>
      </c>
      <c r="H542" s="4">
        <v>2</v>
      </c>
      <c r="I542" s="4" t="str">
        <f t="shared" si="8"/>
        <v>Early</v>
      </c>
      <c r="J542" s="2" t="s">
        <v>51</v>
      </c>
      <c r="K542" s="2" t="s">
        <v>49</v>
      </c>
      <c r="L542" s="4">
        <v>4</v>
      </c>
      <c r="M542" s="4">
        <v>436.44</v>
      </c>
      <c r="N542" s="4">
        <v>1745.76</v>
      </c>
      <c r="O542" s="2" t="s">
        <v>43</v>
      </c>
      <c r="P542" t="str">
        <f>IF('Cleaned Data'!N542&gt;JOTTING!F555,"High Sales","Low Sales")</f>
        <v>High Sales</v>
      </c>
    </row>
    <row r="543" spans="2:16" ht="15" x14ac:dyDescent="0.25">
      <c r="B543" s="2" t="s">
        <v>587</v>
      </c>
      <c r="C543" s="2" t="s">
        <v>757</v>
      </c>
      <c r="D543" s="7">
        <v>2023</v>
      </c>
      <c r="E543" s="7" t="s">
        <v>768</v>
      </c>
      <c r="F543" s="3">
        <v>45139</v>
      </c>
      <c r="G543" s="4">
        <v>753</v>
      </c>
      <c r="H543" s="4">
        <v>4</v>
      </c>
      <c r="I543" s="4" t="str">
        <f t="shared" si="8"/>
        <v>Standard</v>
      </c>
      <c r="J543" s="2" t="s">
        <v>55</v>
      </c>
      <c r="K543" s="2" t="s">
        <v>39</v>
      </c>
      <c r="L543" s="4">
        <v>4</v>
      </c>
      <c r="M543" s="4">
        <v>386.76</v>
      </c>
      <c r="N543" s="4">
        <v>1547.04</v>
      </c>
      <c r="O543" s="2" t="s">
        <v>20</v>
      </c>
      <c r="P543" t="str">
        <f>IF('Cleaned Data'!N543&gt;JOTTING!F556,"High Sales","Low Sales")</f>
        <v>High Sales</v>
      </c>
    </row>
    <row r="544" spans="2:16" ht="15" x14ac:dyDescent="0.25">
      <c r="B544" s="2" t="s">
        <v>588</v>
      </c>
      <c r="C544" s="2" t="s">
        <v>754</v>
      </c>
      <c r="D544" s="7">
        <v>2023</v>
      </c>
      <c r="E544" s="7" t="s">
        <v>766</v>
      </c>
      <c r="F544" s="3">
        <v>45170</v>
      </c>
      <c r="G544" s="4">
        <v>302</v>
      </c>
      <c r="H544" s="4">
        <v>2</v>
      </c>
      <c r="I544" s="4" t="str">
        <f t="shared" si="8"/>
        <v>Early</v>
      </c>
      <c r="J544" s="2" t="s">
        <v>42</v>
      </c>
      <c r="K544" s="2" t="s">
        <v>57</v>
      </c>
      <c r="L544" s="4">
        <v>4</v>
      </c>
      <c r="M544" s="4">
        <v>247.64</v>
      </c>
      <c r="N544" s="4">
        <v>990.56</v>
      </c>
      <c r="O544" s="2" t="s">
        <v>20</v>
      </c>
      <c r="P544" t="str">
        <f>IF('Cleaned Data'!N544&gt;JOTTING!F557,"High Sales","Low Sales")</f>
        <v>High Sales</v>
      </c>
    </row>
    <row r="545" spans="2:16" ht="15" x14ac:dyDescent="0.25">
      <c r="B545" s="2" t="s">
        <v>589</v>
      </c>
      <c r="C545" s="2" t="s">
        <v>757</v>
      </c>
      <c r="D545" s="7">
        <v>2023</v>
      </c>
      <c r="E545" s="7" t="s">
        <v>762</v>
      </c>
      <c r="F545" s="3">
        <v>45133</v>
      </c>
      <c r="G545" s="4">
        <v>920</v>
      </c>
      <c r="H545" s="4">
        <v>8</v>
      </c>
      <c r="I545" s="4" t="str">
        <f t="shared" si="8"/>
        <v>Slow</v>
      </c>
      <c r="J545" s="2" t="s">
        <v>51</v>
      </c>
      <c r="K545" s="2" t="s">
        <v>57</v>
      </c>
      <c r="L545" s="4">
        <v>2</v>
      </c>
      <c r="M545" s="4">
        <v>324.75</v>
      </c>
      <c r="N545" s="4">
        <v>649.5</v>
      </c>
      <c r="O545" s="2" t="s">
        <v>20</v>
      </c>
      <c r="P545" t="str">
        <f>IF('Cleaned Data'!N545&gt;JOTTING!F558,"High Sales","Low Sales")</f>
        <v>High Sales</v>
      </c>
    </row>
    <row r="546" spans="2:16" ht="15" x14ac:dyDescent="0.25">
      <c r="B546" s="2" t="s">
        <v>590</v>
      </c>
      <c r="C546" s="2" t="s">
        <v>755</v>
      </c>
      <c r="D546" s="7">
        <v>2023</v>
      </c>
      <c r="E546" s="7" t="s">
        <v>759</v>
      </c>
      <c r="F546" s="3">
        <v>45245</v>
      </c>
      <c r="G546" s="4">
        <v>838</v>
      </c>
      <c r="H546" s="4">
        <v>3</v>
      </c>
      <c r="I546" s="4" t="str">
        <f t="shared" si="8"/>
        <v>Standard</v>
      </c>
      <c r="J546" s="2" t="s">
        <v>51</v>
      </c>
      <c r="K546" s="2" t="s">
        <v>57</v>
      </c>
      <c r="L546" s="4">
        <v>2</v>
      </c>
      <c r="M546" s="4">
        <v>122.16</v>
      </c>
      <c r="N546" s="4">
        <v>244.32</v>
      </c>
      <c r="O546" s="2" t="s">
        <v>20</v>
      </c>
      <c r="P546" t="str">
        <f>IF('Cleaned Data'!N546&gt;JOTTING!F559,"High Sales","Low Sales")</f>
        <v>High Sales</v>
      </c>
    </row>
    <row r="547" spans="2:16" ht="15" x14ac:dyDescent="0.25">
      <c r="B547" s="2" t="s">
        <v>591</v>
      </c>
      <c r="C547" s="2" t="s">
        <v>757</v>
      </c>
      <c r="D547" s="7">
        <v>2023</v>
      </c>
      <c r="E547" s="7" t="s">
        <v>770</v>
      </c>
      <c r="F547" s="3">
        <v>45203</v>
      </c>
      <c r="G547" s="4">
        <v>433</v>
      </c>
      <c r="H547" s="4">
        <v>9</v>
      </c>
      <c r="I547" s="4" t="str">
        <f t="shared" si="8"/>
        <v>Slow</v>
      </c>
      <c r="J547" s="2" t="s">
        <v>51</v>
      </c>
      <c r="K547" s="2" t="s">
        <v>49</v>
      </c>
      <c r="L547" s="4">
        <v>2</v>
      </c>
      <c r="M547" s="4">
        <v>353.14</v>
      </c>
      <c r="N547" s="4">
        <v>706.28</v>
      </c>
      <c r="O547" s="2" t="s">
        <v>20</v>
      </c>
      <c r="P547" t="str">
        <f>IF('Cleaned Data'!N547&gt;JOTTING!F560,"High Sales","Low Sales")</f>
        <v>High Sales</v>
      </c>
    </row>
    <row r="548" spans="2:16" ht="15" x14ac:dyDescent="0.25">
      <c r="B548" s="2" t="s">
        <v>184</v>
      </c>
      <c r="C548" s="2" t="s">
        <v>755</v>
      </c>
      <c r="D548" s="7">
        <v>2023</v>
      </c>
      <c r="E548" s="7" t="s">
        <v>762</v>
      </c>
      <c r="F548" s="3">
        <v>45121</v>
      </c>
      <c r="G548" s="4">
        <v>321</v>
      </c>
      <c r="H548" s="4">
        <v>4</v>
      </c>
      <c r="I548" s="4" t="str">
        <f t="shared" si="8"/>
        <v>Standard</v>
      </c>
      <c r="J548" s="2" t="s">
        <v>42</v>
      </c>
      <c r="K548" s="2" t="s">
        <v>25</v>
      </c>
      <c r="L548" s="4">
        <v>4</v>
      </c>
      <c r="M548" s="4">
        <v>130.66</v>
      </c>
      <c r="N548" s="4">
        <v>522.64</v>
      </c>
      <c r="O548" s="2" t="s">
        <v>43</v>
      </c>
      <c r="P548" t="str">
        <f>IF('Cleaned Data'!N548&gt;JOTTING!F561,"High Sales","Low Sales")</f>
        <v>High Sales</v>
      </c>
    </row>
    <row r="549" spans="2:16" ht="15" x14ac:dyDescent="0.25">
      <c r="B549" s="2" t="s">
        <v>592</v>
      </c>
      <c r="C549" s="2" t="s">
        <v>757</v>
      </c>
      <c r="D549" s="7">
        <v>2023</v>
      </c>
      <c r="E549" s="7" t="s">
        <v>759</v>
      </c>
      <c r="F549" s="3">
        <v>45249</v>
      </c>
      <c r="G549" s="4">
        <v>140</v>
      </c>
      <c r="H549" s="4">
        <v>6</v>
      </c>
      <c r="I549" s="4" t="str">
        <f t="shared" si="8"/>
        <v>Standard</v>
      </c>
      <c r="J549" s="2" t="s">
        <v>63</v>
      </c>
      <c r="K549" s="2" t="s">
        <v>25</v>
      </c>
      <c r="L549" s="4">
        <v>2</v>
      </c>
      <c r="M549" s="4">
        <v>362.28</v>
      </c>
      <c r="N549" s="4">
        <v>724.56</v>
      </c>
      <c r="O549" s="2" t="s">
        <v>43</v>
      </c>
      <c r="P549" t="str">
        <f>IF('Cleaned Data'!N549&gt;JOTTING!F562,"High Sales","Low Sales")</f>
        <v>High Sales</v>
      </c>
    </row>
    <row r="550" spans="2:16" ht="15" x14ac:dyDescent="0.25">
      <c r="B550" s="2" t="s">
        <v>593</v>
      </c>
      <c r="C550" s="2" t="s">
        <v>755</v>
      </c>
      <c r="D550" s="7">
        <v>2023</v>
      </c>
      <c r="E550" s="7" t="s">
        <v>769</v>
      </c>
      <c r="F550" s="3">
        <v>45021</v>
      </c>
      <c r="G550" s="4">
        <v>807</v>
      </c>
      <c r="H550" s="4">
        <v>5</v>
      </c>
      <c r="I550" s="4" t="str">
        <f t="shared" si="8"/>
        <v>Standard</v>
      </c>
      <c r="J550" s="2" t="s">
        <v>51</v>
      </c>
      <c r="K550" s="2" t="s">
        <v>57</v>
      </c>
      <c r="L550" s="4">
        <v>4</v>
      </c>
      <c r="M550" s="4">
        <v>153.32</v>
      </c>
      <c r="N550" s="4">
        <v>613.28</v>
      </c>
      <c r="O550" s="2" t="s">
        <v>26</v>
      </c>
      <c r="P550" t="str">
        <f>IF('Cleaned Data'!N550&gt;JOTTING!F563,"High Sales","Low Sales")</f>
        <v>High Sales</v>
      </c>
    </row>
    <row r="551" spans="2:16" ht="15" x14ac:dyDescent="0.25">
      <c r="B551" s="2" t="s">
        <v>594</v>
      </c>
      <c r="C551" s="2" t="s">
        <v>753</v>
      </c>
      <c r="D551" s="7">
        <v>2023</v>
      </c>
      <c r="E551" s="7" t="s">
        <v>764</v>
      </c>
      <c r="F551" s="3">
        <v>44985</v>
      </c>
      <c r="G551" s="4">
        <v>167</v>
      </c>
      <c r="H551" s="4">
        <v>1</v>
      </c>
      <c r="I551" s="4" t="str">
        <f t="shared" si="8"/>
        <v>Early</v>
      </c>
      <c r="J551" s="2" t="s">
        <v>55</v>
      </c>
      <c r="K551" s="2" t="s">
        <v>49</v>
      </c>
      <c r="L551" s="4">
        <v>1</v>
      </c>
      <c r="M551" s="4">
        <v>102.9</v>
      </c>
      <c r="N551" s="4">
        <v>102.9</v>
      </c>
      <c r="O551" s="2" t="s">
        <v>26</v>
      </c>
      <c r="P551" t="str">
        <f>IF('Cleaned Data'!N551&gt;JOTTING!F564,"High Sales","Low Sales")</f>
        <v>High Sales</v>
      </c>
    </row>
    <row r="552" spans="2:16" ht="15" x14ac:dyDescent="0.25">
      <c r="B552" s="2" t="s">
        <v>595</v>
      </c>
      <c r="C552" s="2" t="s">
        <v>754</v>
      </c>
      <c r="D552" s="7">
        <v>2023</v>
      </c>
      <c r="E552" s="7" t="s">
        <v>767</v>
      </c>
      <c r="F552" s="3">
        <v>44994</v>
      </c>
      <c r="G552" s="4">
        <v>875</v>
      </c>
      <c r="H552" s="4">
        <v>9</v>
      </c>
      <c r="I552" s="4" t="str">
        <f t="shared" si="8"/>
        <v>Slow</v>
      </c>
      <c r="J552" s="2" t="s">
        <v>18</v>
      </c>
      <c r="K552" s="2" t="s">
        <v>57</v>
      </c>
      <c r="L552" s="4">
        <v>4</v>
      </c>
      <c r="M552" s="4">
        <v>124.38</v>
      </c>
      <c r="N552" s="4">
        <v>497.52</v>
      </c>
      <c r="O552" s="2" t="s">
        <v>26</v>
      </c>
      <c r="P552" t="str">
        <f>IF('Cleaned Data'!N552&gt;JOTTING!F565,"High Sales","Low Sales")</f>
        <v>High Sales</v>
      </c>
    </row>
    <row r="553" spans="2:16" ht="15" x14ac:dyDescent="0.25">
      <c r="B553" s="2" t="s">
        <v>596</v>
      </c>
      <c r="C553" s="2" t="s">
        <v>754</v>
      </c>
      <c r="D553" s="7">
        <v>2023</v>
      </c>
      <c r="E553" s="7" t="s">
        <v>760</v>
      </c>
      <c r="F553" s="3">
        <v>45049</v>
      </c>
      <c r="G553" s="4">
        <v>613</v>
      </c>
      <c r="H553" s="4">
        <v>1</v>
      </c>
      <c r="I553" s="4" t="str">
        <f t="shared" si="8"/>
        <v>Early</v>
      </c>
      <c r="J553" s="2" t="s">
        <v>51</v>
      </c>
      <c r="K553" s="2" t="s">
        <v>57</v>
      </c>
      <c r="L553" s="4">
        <v>3</v>
      </c>
      <c r="M553" s="4">
        <v>50.9</v>
      </c>
      <c r="N553" s="4">
        <v>152.69999999999999</v>
      </c>
      <c r="O553" s="2" t="s">
        <v>20</v>
      </c>
      <c r="P553" t="str">
        <f>IF('Cleaned Data'!N553&gt;JOTTING!F566,"High Sales","Low Sales")</f>
        <v>High Sales</v>
      </c>
    </row>
    <row r="554" spans="2:16" ht="15" x14ac:dyDescent="0.25">
      <c r="B554" s="2" t="s">
        <v>597</v>
      </c>
      <c r="C554" s="2" t="s">
        <v>757</v>
      </c>
      <c r="D554" s="7">
        <v>2023</v>
      </c>
      <c r="E554" s="7" t="s">
        <v>769</v>
      </c>
      <c r="F554" s="3">
        <v>45022</v>
      </c>
      <c r="G554" s="4">
        <v>972</v>
      </c>
      <c r="H554" s="4">
        <v>8</v>
      </c>
      <c r="I554" s="4" t="str">
        <f t="shared" si="8"/>
        <v>Slow</v>
      </c>
      <c r="J554" s="2" t="s">
        <v>18</v>
      </c>
      <c r="K554" s="2" t="s">
        <v>49</v>
      </c>
      <c r="L554" s="4">
        <v>2</v>
      </c>
      <c r="M554" s="4">
        <v>373.43</v>
      </c>
      <c r="N554" s="4">
        <v>746.86</v>
      </c>
      <c r="O554" s="2" t="s">
        <v>20</v>
      </c>
      <c r="P554" t="str">
        <f>IF('Cleaned Data'!N554&gt;JOTTING!F567,"High Sales","Low Sales")</f>
        <v>High Sales</v>
      </c>
    </row>
    <row r="555" spans="2:16" ht="15" x14ac:dyDescent="0.25">
      <c r="B555" s="2" t="s">
        <v>598</v>
      </c>
      <c r="C555" s="2" t="s">
        <v>756</v>
      </c>
      <c r="D555" s="7">
        <v>2023</v>
      </c>
      <c r="E555" s="7" t="s">
        <v>763</v>
      </c>
      <c r="F555" s="3">
        <v>45275</v>
      </c>
      <c r="G555" s="4">
        <v>736</v>
      </c>
      <c r="H555" s="4">
        <v>9</v>
      </c>
      <c r="I555" s="4" t="str">
        <f t="shared" si="8"/>
        <v>Slow</v>
      </c>
      <c r="J555" s="2" t="s">
        <v>42</v>
      </c>
      <c r="K555" s="2" t="s">
        <v>39</v>
      </c>
      <c r="L555" s="4">
        <v>2</v>
      </c>
      <c r="M555" s="4">
        <v>379.58</v>
      </c>
      <c r="N555" s="4">
        <v>759.16</v>
      </c>
      <c r="O555" s="2" t="s">
        <v>26</v>
      </c>
      <c r="P555" t="str">
        <f>IF('Cleaned Data'!N555&gt;JOTTING!F568,"High Sales","Low Sales")</f>
        <v>High Sales</v>
      </c>
    </row>
    <row r="556" spans="2:16" ht="15" x14ac:dyDescent="0.25">
      <c r="B556" s="2" t="s">
        <v>599</v>
      </c>
      <c r="C556" s="2" t="s">
        <v>757</v>
      </c>
      <c r="D556" s="7">
        <v>2023</v>
      </c>
      <c r="E556" s="7" t="s">
        <v>764</v>
      </c>
      <c r="F556" s="3">
        <v>44974</v>
      </c>
      <c r="G556" s="4">
        <v>721</v>
      </c>
      <c r="H556" s="4">
        <v>9</v>
      </c>
      <c r="I556" s="4" t="str">
        <f t="shared" si="8"/>
        <v>Slow</v>
      </c>
      <c r="J556" s="2" t="s">
        <v>42</v>
      </c>
      <c r="K556" s="2" t="s">
        <v>25</v>
      </c>
      <c r="L556" s="4">
        <v>3</v>
      </c>
      <c r="M556" s="4">
        <v>281.72000000000003</v>
      </c>
      <c r="N556" s="4">
        <v>845.16</v>
      </c>
      <c r="O556" s="2" t="s">
        <v>26</v>
      </c>
      <c r="P556" t="str">
        <f>IF('Cleaned Data'!N556&gt;JOTTING!F569,"High Sales","Low Sales")</f>
        <v>High Sales</v>
      </c>
    </row>
    <row r="557" spans="2:16" ht="15" x14ac:dyDescent="0.25">
      <c r="B557" s="2" t="s">
        <v>600</v>
      </c>
      <c r="C557" s="2" t="s">
        <v>754</v>
      </c>
      <c r="D557" s="7">
        <v>2023</v>
      </c>
      <c r="E557" s="7" t="s">
        <v>766</v>
      </c>
      <c r="F557" s="3">
        <v>45183</v>
      </c>
      <c r="G557" s="4">
        <v>697</v>
      </c>
      <c r="H557" s="4">
        <v>1</v>
      </c>
      <c r="I557" s="4" t="str">
        <f t="shared" si="8"/>
        <v>Early</v>
      </c>
      <c r="J557" s="2" t="s">
        <v>18</v>
      </c>
      <c r="K557" s="2" t="s">
        <v>49</v>
      </c>
      <c r="L557" s="4">
        <v>4</v>
      </c>
      <c r="M557" s="4">
        <v>122.61</v>
      </c>
      <c r="N557" s="4">
        <v>490.44</v>
      </c>
      <c r="O557" s="2" t="s">
        <v>20</v>
      </c>
      <c r="P557" t="str">
        <f>IF('Cleaned Data'!N557&gt;JOTTING!F570,"High Sales","Low Sales")</f>
        <v>High Sales</v>
      </c>
    </row>
    <row r="558" spans="2:16" ht="15" x14ac:dyDescent="0.25">
      <c r="B558" s="2" t="s">
        <v>601</v>
      </c>
      <c r="C558" s="2" t="s">
        <v>755</v>
      </c>
      <c r="D558" s="7">
        <v>2023</v>
      </c>
      <c r="E558" s="7" t="s">
        <v>767</v>
      </c>
      <c r="F558" s="3">
        <v>44998</v>
      </c>
      <c r="G558" s="4">
        <v>731</v>
      </c>
      <c r="H558" s="4">
        <v>2</v>
      </c>
      <c r="I558" s="4" t="str">
        <f t="shared" si="8"/>
        <v>Early</v>
      </c>
      <c r="J558" s="2" t="s">
        <v>24</v>
      </c>
      <c r="K558" s="2" t="s">
        <v>49</v>
      </c>
      <c r="L558" s="4">
        <v>1</v>
      </c>
      <c r="M558" s="4">
        <v>87.6</v>
      </c>
      <c r="N558" s="4">
        <v>87.6</v>
      </c>
      <c r="O558" s="2" t="s">
        <v>43</v>
      </c>
      <c r="P558" t="str">
        <f>IF('Cleaned Data'!N558&gt;JOTTING!F571,"High Sales","Low Sales")</f>
        <v>High Sales</v>
      </c>
    </row>
    <row r="559" spans="2:16" ht="15" x14ac:dyDescent="0.25">
      <c r="B559" s="2" t="s">
        <v>602</v>
      </c>
      <c r="C559" s="2" t="s">
        <v>755</v>
      </c>
      <c r="D559" s="7">
        <v>2023</v>
      </c>
      <c r="E559" s="7" t="s">
        <v>759</v>
      </c>
      <c r="F559" s="3">
        <v>45249</v>
      </c>
      <c r="G559" s="4">
        <v>226</v>
      </c>
      <c r="H559" s="4">
        <v>1</v>
      </c>
      <c r="I559" s="4" t="str">
        <f t="shared" si="8"/>
        <v>Early</v>
      </c>
      <c r="J559" s="2" t="s">
        <v>63</v>
      </c>
      <c r="K559" s="2" t="s">
        <v>49</v>
      </c>
      <c r="L559" s="4">
        <v>3</v>
      </c>
      <c r="M559" s="4">
        <v>58.61</v>
      </c>
      <c r="N559" s="4">
        <v>175.83</v>
      </c>
      <c r="O559" s="2" t="s">
        <v>43</v>
      </c>
      <c r="P559" t="str">
        <f>IF('Cleaned Data'!N559&gt;JOTTING!F572,"High Sales","Low Sales")</f>
        <v>High Sales</v>
      </c>
    </row>
    <row r="560" spans="2:16" ht="15" x14ac:dyDescent="0.25">
      <c r="B560" s="2" t="s">
        <v>603</v>
      </c>
      <c r="C560" s="2" t="s">
        <v>755</v>
      </c>
      <c r="D560" s="7">
        <v>2023</v>
      </c>
      <c r="E560" s="7" t="s">
        <v>763</v>
      </c>
      <c r="F560" s="3">
        <v>45279</v>
      </c>
      <c r="G560" s="4">
        <v>354</v>
      </c>
      <c r="H560" s="4">
        <v>2</v>
      </c>
      <c r="I560" s="4" t="str">
        <f t="shared" si="8"/>
        <v>Early</v>
      </c>
      <c r="J560" s="2" t="s">
        <v>55</v>
      </c>
      <c r="K560" s="2" t="s">
        <v>39</v>
      </c>
      <c r="L560" s="4">
        <v>3</v>
      </c>
      <c r="M560" s="4">
        <v>124.59</v>
      </c>
      <c r="N560" s="4">
        <v>373.77</v>
      </c>
      <c r="O560" s="2" t="s">
        <v>26</v>
      </c>
      <c r="P560" t="str">
        <f>IF('Cleaned Data'!N560&gt;JOTTING!F573,"High Sales","Low Sales")</f>
        <v>High Sales</v>
      </c>
    </row>
    <row r="561" spans="2:16" ht="15" x14ac:dyDescent="0.25">
      <c r="B561" s="2" t="s">
        <v>604</v>
      </c>
      <c r="C561" s="2" t="s">
        <v>757</v>
      </c>
      <c r="D561" s="7">
        <v>2023</v>
      </c>
      <c r="E561" s="7" t="s">
        <v>765</v>
      </c>
      <c r="F561" s="3">
        <v>45104</v>
      </c>
      <c r="G561" s="4">
        <v>794</v>
      </c>
      <c r="H561" s="4">
        <v>8</v>
      </c>
      <c r="I561" s="4" t="str">
        <f t="shared" si="8"/>
        <v>Slow</v>
      </c>
      <c r="J561" s="2" t="s">
        <v>55</v>
      </c>
      <c r="K561" s="2" t="s">
        <v>25</v>
      </c>
      <c r="L561" s="4">
        <v>4</v>
      </c>
      <c r="M561" s="4">
        <v>450.88</v>
      </c>
      <c r="N561" s="4">
        <v>1803.52</v>
      </c>
      <c r="O561" s="2" t="s">
        <v>26</v>
      </c>
      <c r="P561" t="str">
        <f>IF('Cleaned Data'!N561&gt;JOTTING!F574,"High Sales","Low Sales")</f>
        <v>High Sales</v>
      </c>
    </row>
    <row r="562" spans="2:16" ht="15" x14ac:dyDescent="0.25">
      <c r="B562" s="2" t="s">
        <v>605</v>
      </c>
      <c r="C562" s="2" t="s">
        <v>753</v>
      </c>
      <c r="D562" s="7">
        <v>2023</v>
      </c>
      <c r="E562" s="7" t="s">
        <v>759</v>
      </c>
      <c r="F562" s="3">
        <v>45252</v>
      </c>
      <c r="G562" s="4">
        <v>115</v>
      </c>
      <c r="H562" s="4">
        <v>5</v>
      </c>
      <c r="I562" s="4" t="str">
        <f t="shared" si="8"/>
        <v>Standard</v>
      </c>
      <c r="J562" s="2" t="s">
        <v>51</v>
      </c>
      <c r="K562" s="2" t="s">
        <v>25</v>
      </c>
      <c r="L562" s="4">
        <v>2</v>
      </c>
      <c r="M562" s="4">
        <v>158.69</v>
      </c>
      <c r="N562" s="4">
        <v>317.38</v>
      </c>
      <c r="O562" s="2" t="s">
        <v>31</v>
      </c>
      <c r="P562" t="str">
        <f>IF('Cleaned Data'!N562&gt;JOTTING!F575,"High Sales","Low Sales")</f>
        <v>High Sales</v>
      </c>
    </row>
    <row r="563" spans="2:16" ht="15" x14ac:dyDescent="0.25">
      <c r="B563" s="2" t="s">
        <v>606</v>
      </c>
      <c r="C563" s="2" t="s">
        <v>757</v>
      </c>
      <c r="D563" s="7">
        <v>2023</v>
      </c>
      <c r="E563" s="7" t="s">
        <v>761</v>
      </c>
      <c r="F563" s="3">
        <v>44935</v>
      </c>
      <c r="G563" s="4">
        <v>576</v>
      </c>
      <c r="H563" s="4">
        <v>7</v>
      </c>
      <c r="I563" s="4" t="str">
        <f t="shared" si="8"/>
        <v>Slow</v>
      </c>
      <c r="J563" s="2" t="s">
        <v>24</v>
      </c>
      <c r="K563" s="2" t="s">
        <v>19</v>
      </c>
      <c r="L563" s="4">
        <v>4</v>
      </c>
      <c r="M563" s="4">
        <v>209.42</v>
      </c>
      <c r="N563" s="4">
        <v>837.68</v>
      </c>
      <c r="O563" s="2" t="s">
        <v>26</v>
      </c>
      <c r="P563" t="str">
        <f>IF('Cleaned Data'!N563&gt;JOTTING!F576,"High Sales","Low Sales")</f>
        <v>High Sales</v>
      </c>
    </row>
    <row r="564" spans="2:16" ht="15" x14ac:dyDescent="0.25">
      <c r="B564" s="2" t="s">
        <v>607</v>
      </c>
      <c r="C564" s="2" t="s">
        <v>753</v>
      </c>
      <c r="D564" s="7">
        <v>2023</v>
      </c>
      <c r="E564" s="7" t="s">
        <v>770</v>
      </c>
      <c r="F564" s="3">
        <v>45228</v>
      </c>
      <c r="G564" s="4">
        <v>161</v>
      </c>
      <c r="H564" s="4">
        <v>2</v>
      </c>
      <c r="I564" s="4" t="str">
        <f t="shared" si="8"/>
        <v>Early</v>
      </c>
      <c r="J564" s="2" t="s">
        <v>63</v>
      </c>
      <c r="K564" s="2" t="s">
        <v>25</v>
      </c>
      <c r="L564" s="4">
        <v>3</v>
      </c>
      <c r="M564" s="4">
        <v>97.41</v>
      </c>
      <c r="N564" s="4">
        <v>292.23</v>
      </c>
      <c r="O564" s="2" t="s">
        <v>31</v>
      </c>
      <c r="P564" t="str">
        <f>IF('Cleaned Data'!N564&gt;JOTTING!F577,"High Sales","Low Sales")</f>
        <v>High Sales</v>
      </c>
    </row>
    <row r="565" spans="2:16" ht="15" x14ac:dyDescent="0.25">
      <c r="B565" s="2" t="s">
        <v>608</v>
      </c>
      <c r="C565" s="2" t="s">
        <v>754</v>
      </c>
      <c r="D565" s="7">
        <v>2023</v>
      </c>
      <c r="E565" s="7" t="s">
        <v>769</v>
      </c>
      <c r="F565" s="3">
        <v>45018</v>
      </c>
      <c r="G565" s="4">
        <v>980</v>
      </c>
      <c r="H565" s="4">
        <v>8</v>
      </c>
      <c r="I565" s="4" t="str">
        <f t="shared" si="8"/>
        <v>Slow</v>
      </c>
      <c r="J565" s="2" t="s">
        <v>63</v>
      </c>
      <c r="K565" s="2" t="s">
        <v>39</v>
      </c>
      <c r="L565" s="4">
        <v>3</v>
      </c>
      <c r="M565" s="4">
        <v>150.06</v>
      </c>
      <c r="N565" s="4">
        <v>450.18</v>
      </c>
      <c r="O565" s="2" t="s">
        <v>20</v>
      </c>
      <c r="P565" t="str">
        <f>IF('Cleaned Data'!N565&gt;JOTTING!F578,"High Sales","Low Sales")</f>
        <v>High Sales</v>
      </c>
    </row>
    <row r="566" spans="2:16" ht="15" x14ac:dyDescent="0.25">
      <c r="B566" s="2" t="s">
        <v>609</v>
      </c>
      <c r="C566" s="2" t="s">
        <v>757</v>
      </c>
      <c r="D566" s="7">
        <v>2023</v>
      </c>
      <c r="E566" s="7" t="s">
        <v>763</v>
      </c>
      <c r="F566" s="3">
        <v>45264</v>
      </c>
      <c r="G566" s="4">
        <v>531</v>
      </c>
      <c r="H566" s="4">
        <v>6</v>
      </c>
      <c r="I566" s="4" t="str">
        <f t="shared" si="8"/>
        <v>Standard</v>
      </c>
      <c r="J566" s="2" t="s">
        <v>24</v>
      </c>
      <c r="K566" s="2" t="s">
        <v>25</v>
      </c>
      <c r="L566" s="4">
        <v>2</v>
      </c>
      <c r="M566" s="4">
        <v>283.64999999999998</v>
      </c>
      <c r="N566" s="4">
        <v>567.29999999999995</v>
      </c>
      <c r="O566" s="2" t="s">
        <v>43</v>
      </c>
      <c r="P566" t="str">
        <f>IF('Cleaned Data'!N566&gt;JOTTING!F579,"High Sales","Low Sales")</f>
        <v>High Sales</v>
      </c>
    </row>
    <row r="567" spans="2:16" ht="15" x14ac:dyDescent="0.25">
      <c r="B567" s="2" t="s">
        <v>610</v>
      </c>
      <c r="C567" s="2" t="s">
        <v>757</v>
      </c>
      <c r="D567" s="7">
        <v>2023</v>
      </c>
      <c r="E567" s="7" t="s">
        <v>761</v>
      </c>
      <c r="F567" s="3">
        <v>44935</v>
      </c>
      <c r="G567" s="4">
        <v>769</v>
      </c>
      <c r="H567" s="4">
        <v>8</v>
      </c>
      <c r="I567" s="4" t="str">
        <f t="shared" si="8"/>
        <v>Slow</v>
      </c>
      <c r="J567" s="2" t="s">
        <v>24</v>
      </c>
      <c r="K567" s="2" t="s">
        <v>25</v>
      </c>
      <c r="L567" s="4">
        <v>2</v>
      </c>
      <c r="M567" s="4">
        <v>323.49</v>
      </c>
      <c r="N567" s="4">
        <v>646.98</v>
      </c>
      <c r="O567" s="2" t="s">
        <v>43</v>
      </c>
      <c r="P567" t="str">
        <f>IF('Cleaned Data'!N567&gt;JOTTING!F580,"High Sales","Low Sales")</f>
        <v>High Sales</v>
      </c>
    </row>
    <row r="568" spans="2:16" ht="15" x14ac:dyDescent="0.25">
      <c r="B568" s="2" t="s">
        <v>611</v>
      </c>
      <c r="C568" s="2" t="s">
        <v>754</v>
      </c>
      <c r="D568" s="7">
        <v>2023</v>
      </c>
      <c r="E568" s="7" t="s">
        <v>762</v>
      </c>
      <c r="F568" s="3">
        <v>45131</v>
      </c>
      <c r="G568" s="4">
        <v>367</v>
      </c>
      <c r="H568" s="4">
        <v>1</v>
      </c>
      <c r="I568" s="4" t="str">
        <f t="shared" si="8"/>
        <v>Early</v>
      </c>
      <c r="J568" s="2" t="s">
        <v>24</v>
      </c>
      <c r="K568" s="2" t="s">
        <v>57</v>
      </c>
      <c r="L568" s="4">
        <v>2</v>
      </c>
      <c r="M568" s="4">
        <v>160.41</v>
      </c>
      <c r="N568" s="4">
        <v>320.82</v>
      </c>
      <c r="O568" s="2" t="s">
        <v>20</v>
      </c>
      <c r="P568" t="str">
        <f>IF('Cleaned Data'!N568&gt;JOTTING!F581,"High Sales","Low Sales")</f>
        <v>High Sales</v>
      </c>
    </row>
    <row r="569" spans="2:16" ht="15" x14ac:dyDescent="0.25">
      <c r="B569" s="2" t="s">
        <v>612</v>
      </c>
      <c r="C569" s="2" t="s">
        <v>755</v>
      </c>
      <c r="D569" s="7">
        <v>2023</v>
      </c>
      <c r="E569" s="7" t="s">
        <v>770</v>
      </c>
      <c r="F569" s="3">
        <v>45204</v>
      </c>
      <c r="G569" s="4">
        <v>134</v>
      </c>
      <c r="H569" s="4">
        <v>1</v>
      </c>
      <c r="I569" s="4" t="str">
        <f t="shared" si="8"/>
        <v>Early</v>
      </c>
      <c r="J569" s="2" t="s">
        <v>18</v>
      </c>
      <c r="K569" s="2" t="s">
        <v>57</v>
      </c>
      <c r="L569" s="4">
        <v>4</v>
      </c>
      <c r="M569" s="4">
        <v>75.98</v>
      </c>
      <c r="N569" s="4">
        <v>303.92</v>
      </c>
      <c r="O569" s="2" t="s">
        <v>20</v>
      </c>
      <c r="P569" t="str">
        <f>IF('Cleaned Data'!N569&gt;JOTTING!F582,"High Sales","Low Sales")</f>
        <v>High Sales</v>
      </c>
    </row>
    <row r="570" spans="2:16" ht="15" x14ac:dyDescent="0.25">
      <c r="B570" s="2" t="s">
        <v>613</v>
      </c>
      <c r="C570" s="2" t="s">
        <v>754</v>
      </c>
      <c r="D570" s="7">
        <v>2023</v>
      </c>
      <c r="E570" s="7" t="s">
        <v>769</v>
      </c>
      <c r="F570" s="3">
        <v>45028</v>
      </c>
      <c r="G570" s="4">
        <v>878</v>
      </c>
      <c r="H570" s="4">
        <v>7</v>
      </c>
      <c r="I570" s="4" t="str">
        <f t="shared" si="8"/>
        <v>Slow</v>
      </c>
      <c r="J570" s="2" t="s">
        <v>51</v>
      </c>
      <c r="K570" s="2" t="s">
        <v>25</v>
      </c>
      <c r="L570" s="4">
        <v>2</v>
      </c>
      <c r="M570" s="4">
        <v>225.96</v>
      </c>
      <c r="N570" s="4">
        <v>451.92</v>
      </c>
      <c r="O570" s="2" t="s">
        <v>31</v>
      </c>
      <c r="P570" t="str">
        <f>IF('Cleaned Data'!N570&gt;JOTTING!F583,"High Sales","Low Sales")</f>
        <v>High Sales</v>
      </c>
    </row>
    <row r="571" spans="2:16" ht="15" x14ac:dyDescent="0.25">
      <c r="B571" s="2" t="s">
        <v>614</v>
      </c>
      <c r="C571" s="2" t="s">
        <v>757</v>
      </c>
      <c r="D571" s="7">
        <v>2023</v>
      </c>
      <c r="E571" s="7" t="s">
        <v>767</v>
      </c>
      <c r="F571" s="3">
        <v>45005</v>
      </c>
      <c r="G571" s="4">
        <v>675</v>
      </c>
      <c r="H571" s="4">
        <v>8</v>
      </c>
      <c r="I571" s="4" t="str">
        <f t="shared" si="8"/>
        <v>Slow</v>
      </c>
      <c r="J571" s="2" t="s">
        <v>24</v>
      </c>
      <c r="K571" s="2" t="s">
        <v>25</v>
      </c>
      <c r="L571" s="4">
        <v>3</v>
      </c>
      <c r="M571" s="4">
        <v>155.38999999999999</v>
      </c>
      <c r="N571" s="4">
        <v>466.17</v>
      </c>
      <c r="O571" s="2" t="s">
        <v>26</v>
      </c>
      <c r="P571" t="str">
        <f>IF('Cleaned Data'!N571&gt;JOTTING!F584,"High Sales","Low Sales")</f>
        <v>High Sales</v>
      </c>
    </row>
    <row r="572" spans="2:16" ht="15" x14ac:dyDescent="0.25">
      <c r="B572" s="2" t="s">
        <v>615</v>
      </c>
      <c r="C572" s="2" t="s">
        <v>753</v>
      </c>
      <c r="D572" s="7">
        <v>2023</v>
      </c>
      <c r="E572" s="7" t="s">
        <v>764</v>
      </c>
      <c r="F572" s="3">
        <v>44960</v>
      </c>
      <c r="G572" s="4">
        <v>593</v>
      </c>
      <c r="H572" s="4">
        <v>3</v>
      </c>
      <c r="I572" s="4" t="str">
        <f t="shared" si="8"/>
        <v>Standard</v>
      </c>
      <c r="J572" s="2" t="s">
        <v>42</v>
      </c>
      <c r="K572" s="2" t="s">
        <v>19</v>
      </c>
      <c r="L572" s="4">
        <v>3</v>
      </c>
      <c r="M572" s="4">
        <v>148.80000000000001</v>
      </c>
      <c r="N572" s="4">
        <v>446.4</v>
      </c>
      <c r="O572" s="2" t="s">
        <v>31</v>
      </c>
      <c r="P572" t="str">
        <f>IF('Cleaned Data'!N572&gt;JOTTING!F585,"High Sales","Low Sales")</f>
        <v>High Sales</v>
      </c>
    </row>
    <row r="573" spans="2:16" ht="15" x14ac:dyDescent="0.25">
      <c r="B573" s="2" t="s">
        <v>616</v>
      </c>
      <c r="C573" s="2" t="s">
        <v>753</v>
      </c>
      <c r="D573" s="7">
        <v>2023</v>
      </c>
      <c r="E573" s="7" t="s">
        <v>760</v>
      </c>
      <c r="F573" s="3">
        <v>45051</v>
      </c>
      <c r="G573" s="4">
        <v>661</v>
      </c>
      <c r="H573" s="4">
        <v>5</v>
      </c>
      <c r="I573" s="4" t="str">
        <f t="shared" si="8"/>
        <v>Standard</v>
      </c>
      <c r="J573" s="2" t="s">
        <v>42</v>
      </c>
      <c r="K573" s="2" t="s">
        <v>57</v>
      </c>
      <c r="L573" s="4">
        <v>1</v>
      </c>
      <c r="M573" s="4">
        <v>481.94</v>
      </c>
      <c r="N573" s="4">
        <v>481.94</v>
      </c>
      <c r="O573" s="2" t="s">
        <v>20</v>
      </c>
      <c r="P573" t="str">
        <f>IF('Cleaned Data'!N573&gt;JOTTING!F586,"High Sales","Low Sales")</f>
        <v>High Sales</v>
      </c>
    </row>
    <row r="574" spans="2:16" ht="15" x14ac:dyDescent="0.25">
      <c r="B574" s="2" t="s">
        <v>617</v>
      </c>
      <c r="C574" s="2" t="s">
        <v>756</v>
      </c>
      <c r="D574" s="7">
        <v>2023</v>
      </c>
      <c r="E574" s="7" t="s">
        <v>762</v>
      </c>
      <c r="F574" s="3">
        <v>45132</v>
      </c>
      <c r="G574" s="4">
        <v>568</v>
      </c>
      <c r="H574" s="4">
        <v>1</v>
      </c>
      <c r="I574" s="4" t="str">
        <f t="shared" si="8"/>
        <v>Early</v>
      </c>
      <c r="J574" s="2" t="s">
        <v>55</v>
      </c>
      <c r="K574" s="2" t="s">
        <v>19</v>
      </c>
      <c r="L574" s="4">
        <v>4</v>
      </c>
      <c r="M574" s="4">
        <v>327.33999999999997</v>
      </c>
      <c r="N574" s="4">
        <v>1309.3599999999999</v>
      </c>
      <c r="O574" s="2" t="s">
        <v>26</v>
      </c>
      <c r="P574" t="str">
        <f>IF('Cleaned Data'!N574&gt;JOTTING!F587,"High Sales","Low Sales")</f>
        <v>High Sales</v>
      </c>
    </row>
    <row r="575" spans="2:16" ht="15" x14ac:dyDescent="0.25">
      <c r="B575" s="2" t="s">
        <v>618</v>
      </c>
      <c r="C575" s="2" t="s">
        <v>753</v>
      </c>
      <c r="D575" s="7">
        <v>2023</v>
      </c>
      <c r="E575" s="7" t="s">
        <v>764</v>
      </c>
      <c r="F575" s="3">
        <v>44976</v>
      </c>
      <c r="G575" s="4">
        <v>866</v>
      </c>
      <c r="H575" s="4">
        <v>7</v>
      </c>
      <c r="I575" s="4" t="str">
        <f t="shared" si="8"/>
        <v>Slow</v>
      </c>
      <c r="J575" s="2" t="s">
        <v>63</v>
      </c>
      <c r="K575" s="2" t="s">
        <v>25</v>
      </c>
      <c r="L575" s="4">
        <v>1</v>
      </c>
      <c r="M575" s="4">
        <v>300.60000000000002</v>
      </c>
      <c r="N575" s="4">
        <v>300.60000000000002</v>
      </c>
      <c r="O575" s="2" t="s">
        <v>31</v>
      </c>
      <c r="P575" t="str">
        <f>IF('Cleaned Data'!N575&gt;JOTTING!F588,"High Sales","Low Sales")</f>
        <v>High Sales</v>
      </c>
    </row>
    <row r="576" spans="2:16" ht="15" x14ac:dyDescent="0.25">
      <c r="B576" s="2" t="s">
        <v>619</v>
      </c>
      <c r="C576" s="2" t="s">
        <v>757</v>
      </c>
      <c r="D576" s="7">
        <v>2023</v>
      </c>
      <c r="E576" s="7" t="s">
        <v>760</v>
      </c>
      <c r="F576" s="3">
        <v>45069</v>
      </c>
      <c r="G576" s="4">
        <v>760</v>
      </c>
      <c r="H576" s="4">
        <v>5</v>
      </c>
      <c r="I576" s="4" t="str">
        <f t="shared" si="8"/>
        <v>Standard</v>
      </c>
      <c r="J576" s="2" t="s">
        <v>55</v>
      </c>
      <c r="K576" s="2" t="s">
        <v>39</v>
      </c>
      <c r="L576" s="4">
        <v>3</v>
      </c>
      <c r="M576" s="4">
        <v>237.1</v>
      </c>
      <c r="N576" s="4">
        <v>711.3</v>
      </c>
      <c r="O576" s="2" t="s">
        <v>31</v>
      </c>
      <c r="P576" t="str">
        <f>IF('Cleaned Data'!N576&gt;JOTTING!F589,"High Sales","Low Sales")</f>
        <v>High Sales</v>
      </c>
    </row>
    <row r="577" spans="2:16" ht="15" x14ac:dyDescent="0.25">
      <c r="B577" s="2" t="s">
        <v>620</v>
      </c>
      <c r="C577" s="2" t="s">
        <v>754</v>
      </c>
      <c r="D577" s="7">
        <v>2023</v>
      </c>
      <c r="E577" s="7" t="s">
        <v>761</v>
      </c>
      <c r="F577" s="3">
        <v>44938</v>
      </c>
      <c r="G577" s="4">
        <v>424</v>
      </c>
      <c r="H577" s="4">
        <v>8</v>
      </c>
      <c r="I577" s="4" t="str">
        <f t="shared" si="8"/>
        <v>Slow</v>
      </c>
      <c r="J577" s="2" t="s">
        <v>18</v>
      </c>
      <c r="K577" s="2" t="s">
        <v>25</v>
      </c>
      <c r="L577" s="4">
        <v>1</v>
      </c>
      <c r="M577" s="4">
        <v>243.02</v>
      </c>
      <c r="N577" s="4">
        <v>243.02</v>
      </c>
      <c r="O577" s="2" t="s">
        <v>43</v>
      </c>
      <c r="P577" t="str">
        <f>IF('Cleaned Data'!N577&gt;JOTTING!F590,"High Sales","Low Sales")</f>
        <v>High Sales</v>
      </c>
    </row>
    <row r="578" spans="2:16" ht="15" x14ac:dyDescent="0.25">
      <c r="B578" s="2" t="s">
        <v>621</v>
      </c>
      <c r="C578" s="2" t="s">
        <v>753</v>
      </c>
      <c r="D578" s="7">
        <v>2023</v>
      </c>
      <c r="E578" s="7" t="s">
        <v>759</v>
      </c>
      <c r="F578" s="3">
        <v>45233</v>
      </c>
      <c r="G578" s="4">
        <v>403</v>
      </c>
      <c r="H578" s="4">
        <v>8</v>
      </c>
      <c r="I578" s="4" t="str">
        <f t="shared" si="8"/>
        <v>Slow</v>
      </c>
      <c r="J578" s="2" t="s">
        <v>42</v>
      </c>
      <c r="K578" s="2" t="s">
        <v>57</v>
      </c>
      <c r="L578" s="4">
        <v>3</v>
      </c>
      <c r="M578" s="4">
        <v>293.41000000000003</v>
      </c>
      <c r="N578" s="4">
        <v>880.23</v>
      </c>
      <c r="O578" s="2" t="s">
        <v>31</v>
      </c>
      <c r="P578" t="str">
        <f>IF('Cleaned Data'!N578&gt;JOTTING!F591,"High Sales","Low Sales")</f>
        <v>High Sales</v>
      </c>
    </row>
    <row r="579" spans="2:16" ht="15" x14ac:dyDescent="0.25">
      <c r="B579" s="2" t="s">
        <v>622</v>
      </c>
      <c r="C579" s="2" t="s">
        <v>757</v>
      </c>
      <c r="D579" s="7">
        <v>2023</v>
      </c>
      <c r="E579" s="7" t="s">
        <v>764</v>
      </c>
      <c r="F579" s="3">
        <v>44982</v>
      </c>
      <c r="G579" s="4">
        <v>375</v>
      </c>
      <c r="H579" s="4">
        <v>9</v>
      </c>
      <c r="I579" s="4" t="str">
        <f t="shared" ref="I579:I642" si="9">_xlfn.IFS(H579&lt;3,"Early",H579&lt;=6,"Standard",H579&lt;=9,"Slow")</f>
        <v>Slow</v>
      </c>
      <c r="J579" s="2" t="s">
        <v>30</v>
      </c>
      <c r="K579" s="2" t="s">
        <v>39</v>
      </c>
      <c r="L579" s="4">
        <v>1</v>
      </c>
      <c r="M579" s="4">
        <v>363.39</v>
      </c>
      <c r="N579" s="4">
        <v>363.39</v>
      </c>
      <c r="O579" s="2" t="s">
        <v>31</v>
      </c>
      <c r="P579" t="str">
        <f>IF('Cleaned Data'!N579&gt;JOTTING!F592,"High Sales","Low Sales")</f>
        <v>High Sales</v>
      </c>
    </row>
    <row r="580" spans="2:16" ht="15" x14ac:dyDescent="0.25">
      <c r="B580" s="2" t="s">
        <v>623</v>
      </c>
      <c r="C580" s="2" t="s">
        <v>757</v>
      </c>
      <c r="D580" s="7">
        <v>2023</v>
      </c>
      <c r="E580" s="7" t="s">
        <v>769</v>
      </c>
      <c r="F580" s="3">
        <v>45037</v>
      </c>
      <c r="G580" s="4">
        <v>968</v>
      </c>
      <c r="H580" s="4">
        <v>7</v>
      </c>
      <c r="I580" s="4" t="str">
        <f t="shared" si="9"/>
        <v>Slow</v>
      </c>
      <c r="J580" s="2" t="s">
        <v>42</v>
      </c>
      <c r="K580" s="2" t="s">
        <v>19</v>
      </c>
      <c r="L580" s="4">
        <v>2</v>
      </c>
      <c r="M580" s="4">
        <v>365.97</v>
      </c>
      <c r="N580" s="4">
        <v>731.94</v>
      </c>
      <c r="O580" s="2" t="s">
        <v>26</v>
      </c>
      <c r="P580" t="str">
        <f>IF('Cleaned Data'!N580&gt;JOTTING!F593,"High Sales","Low Sales")</f>
        <v>High Sales</v>
      </c>
    </row>
    <row r="581" spans="2:16" ht="15" x14ac:dyDescent="0.25">
      <c r="B581" s="2" t="s">
        <v>624</v>
      </c>
      <c r="C581" s="2" t="s">
        <v>757</v>
      </c>
      <c r="D581" s="7">
        <v>2023</v>
      </c>
      <c r="E581" s="7" t="s">
        <v>761</v>
      </c>
      <c r="F581" s="3">
        <v>44934</v>
      </c>
      <c r="G581" s="4">
        <v>783</v>
      </c>
      <c r="H581" s="4">
        <v>1</v>
      </c>
      <c r="I581" s="4" t="str">
        <f t="shared" si="9"/>
        <v>Early</v>
      </c>
      <c r="J581" s="2" t="s">
        <v>63</v>
      </c>
      <c r="K581" s="2" t="s">
        <v>39</v>
      </c>
      <c r="L581" s="4">
        <v>1</v>
      </c>
      <c r="M581" s="4">
        <v>127.26</v>
      </c>
      <c r="N581" s="4">
        <v>127.26</v>
      </c>
      <c r="O581" s="2" t="s">
        <v>20</v>
      </c>
      <c r="P581" t="str">
        <f>IF('Cleaned Data'!N581&gt;JOTTING!F594,"High Sales","Low Sales")</f>
        <v>High Sales</v>
      </c>
    </row>
    <row r="582" spans="2:16" ht="15" x14ac:dyDescent="0.25">
      <c r="B582" s="2" t="s">
        <v>625</v>
      </c>
      <c r="C582" s="2" t="s">
        <v>757</v>
      </c>
      <c r="D582" s="7">
        <v>2023</v>
      </c>
      <c r="E582" s="7" t="s">
        <v>765</v>
      </c>
      <c r="F582" s="3">
        <v>45087</v>
      </c>
      <c r="G582" s="4">
        <v>300</v>
      </c>
      <c r="H582" s="4">
        <v>3</v>
      </c>
      <c r="I582" s="4" t="str">
        <f t="shared" si="9"/>
        <v>Standard</v>
      </c>
      <c r="J582" s="2" t="s">
        <v>30</v>
      </c>
      <c r="K582" s="2" t="s">
        <v>25</v>
      </c>
      <c r="L582" s="4">
        <v>2</v>
      </c>
      <c r="M582" s="4">
        <v>275.05</v>
      </c>
      <c r="N582" s="4">
        <v>550.1</v>
      </c>
      <c r="O582" s="2" t="s">
        <v>43</v>
      </c>
      <c r="P582" t="str">
        <f>IF('Cleaned Data'!N582&gt;JOTTING!F595,"High Sales","Low Sales")</f>
        <v>High Sales</v>
      </c>
    </row>
    <row r="583" spans="2:16" ht="15" x14ac:dyDescent="0.25">
      <c r="B583" s="2" t="s">
        <v>626</v>
      </c>
      <c r="C583" s="2" t="s">
        <v>753</v>
      </c>
      <c r="D583" s="7">
        <v>2023</v>
      </c>
      <c r="E583" s="7" t="s">
        <v>759</v>
      </c>
      <c r="F583" s="3">
        <v>45241</v>
      </c>
      <c r="G583" s="4">
        <v>544</v>
      </c>
      <c r="H583" s="4">
        <v>8</v>
      </c>
      <c r="I583" s="4" t="str">
        <f t="shared" si="9"/>
        <v>Slow</v>
      </c>
      <c r="J583" s="2" t="s">
        <v>30</v>
      </c>
      <c r="K583" s="2" t="s">
        <v>19</v>
      </c>
      <c r="L583" s="4">
        <v>2</v>
      </c>
      <c r="M583" s="4">
        <v>235.38</v>
      </c>
      <c r="N583" s="4">
        <v>470.76</v>
      </c>
      <c r="O583" s="2" t="s">
        <v>43</v>
      </c>
      <c r="P583" t="str">
        <f>IF('Cleaned Data'!N583&gt;JOTTING!F596,"High Sales","Low Sales")</f>
        <v>High Sales</v>
      </c>
    </row>
    <row r="584" spans="2:16" ht="15" x14ac:dyDescent="0.25">
      <c r="B584" s="2" t="s">
        <v>627</v>
      </c>
      <c r="C584" s="2" t="s">
        <v>757</v>
      </c>
      <c r="D584" s="7">
        <v>2023</v>
      </c>
      <c r="E584" s="7" t="s">
        <v>760</v>
      </c>
      <c r="F584" s="3">
        <v>45073</v>
      </c>
      <c r="G584" s="4">
        <v>423</v>
      </c>
      <c r="H584" s="4">
        <v>3</v>
      </c>
      <c r="I584" s="4" t="str">
        <f t="shared" si="9"/>
        <v>Standard</v>
      </c>
      <c r="J584" s="2" t="s">
        <v>30</v>
      </c>
      <c r="K584" s="2" t="s">
        <v>57</v>
      </c>
      <c r="L584" s="4">
        <v>4</v>
      </c>
      <c r="M584" s="4">
        <v>441.74</v>
      </c>
      <c r="N584" s="4">
        <v>1766.96</v>
      </c>
      <c r="O584" s="2" t="s">
        <v>20</v>
      </c>
      <c r="P584" t="str">
        <f>IF('Cleaned Data'!N584&gt;JOTTING!F597,"High Sales","Low Sales")</f>
        <v>High Sales</v>
      </c>
    </row>
    <row r="585" spans="2:16" ht="15" x14ac:dyDescent="0.25">
      <c r="B585" s="2" t="s">
        <v>628</v>
      </c>
      <c r="C585" s="2" t="s">
        <v>756</v>
      </c>
      <c r="D585" s="7">
        <v>2023</v>
      </c>
      <c r="E585" s="7" t="s">
        <v>767</v>
      </c>
      <c r="F585" s="3">
        <v>45000</v>
      </c>
      <c r="G585" s="4">
        <v>134</v>
      </c>
      <c r="H585" s="4">
        <v>8</v>
      </c>
      <c r="I585" s="4" t="str">
        <f t="shared" si="9"/>
        <v>Slow</v>
      </c>
      <c r="J585" s="2" t="s">
        <v>51</v>
      </c>
      <c r="K585" s="2" t="s">
        <v>19</v>
      </c>
      <c r="L585" s="4">
        <v>2</v>
      </c>
      <c r="M585" s="4">
        <v>334.14</v>
      </c>
      <c r="N585" s="4">
        <v>668.28</v>
      </c>
      <c r="O585" s="2" t="s">
        <v>31</v>
      </c>
      <c r="P585" t="str">
        <f>IF('Cleaned Data'!N585&gt;JOTTING!F598,"High Sales","Low Sales")</f>
        <v>High Sales</v>
      </c>
    </row>
    <row r="586" spans="2:16" ht="15" x14ac:dyDescent="0.25">
      <c r="B586" s="2" t="s">
        <v>629</v>
      </c>
      <c r="C586" s="2" t="s">
        <v>757</v>
      </c>
      <c r="D586" s="7">
        <v>2023</v>
      </c>
      <c r="E586" s="7" t="s">
        <v>770</v>
      </c>
      <c r="F586" s="3">
        <v>45203</v>
      </c>
      <c r="G586" s="4">
        <v>581</v>
      </c>
      <c r="H586" s="4">
        <v>1</v>
      </c>
      <c r="I586" s="4" t="str">
        <f t="shared" si="9"/>
        <v>Early</v>
      </c>
      <c r="J586" s="2" t="s">
        <v>51</v>
      </c>
      <c r="K586" s="2" t="s">
        <v>49</v>
      </c>
      <c r="L586" s="4">
        <v>2</v>
      </c>
      <c r="M586" s="4">
        <v>289.63</v>
      </c>
      <c r="N586" s="4">
        <v>579.26</v>
      </c>
      <c r="O586" s="2" t="s">
        <v>43</v>
      </c>
      <c r="P586" t="str">
        <f>IF('Cleaned Data'!N586&gt;JOTTING!F599,"High Sales","Low Sales")</f>
        <v>High Sales</v>
      </c>
    </row>
    <row r="587" spans="2:16" ht="15" x14ac:dyDescent="0.25">
      <c r="B587" s="2" t="s">
        <v>630</v>
      </c>
      <c r="C587" s="2" t="s">
        <v>754</v>
      </c>
      <c r="D587" s="7">
        <v>2023</v>
      </c>
      <c r="E587" s="7" t="s">
        <v>770</v>
      </c>
      <c r="F587" s="3">
        <v>45219</v>
      </c>
      <c r="G587" s="4">
        <v>827</v>
      </c>
      <c r="H587" s="4">
        <v>5</v>
      </c>
      <c r="I587" s="4" t="str">
        <f t="shared" si="9"/>
        <v>Standard</v>
      </c>
      <c r="J587" s="2" t="s">
        <v>42</v>
      </c>
      <c r="K587" s="2" t="s">
        <v>19</v>
      </c>
      <c r="L587" s="4">
        <v>1</v>
      </c>
      <c r="M587" s="4">
        <v>101.93</v>
      </c>
      <c r="N587" s="4">
        <v>101.93</v>
      </c>
      <c r="O587" s="2" t="s">
        <v>31</v>
      </c>
      <c r="P587" t="str">
        <f>IF('Cleaned Data'!N587&gt;JOTTING!F600,"High Sales","Low Sales")</f>
        <v>High Sales</v>
      </c>
    </row>
    <row r="588" spans="2:16" ht="15" x14ac:dyDescent="0.25">
      <c r="B588" s="2" t="s">
        <v>631</v>
      </c>
      <c r="C588" s="2" t="s">
        <v>754</v>
      </c>
      <c r="D588" s="7">
        <v>2023</v>
      </c>
      <c r="E588" s="7" t="s">
        <v>767</v>
      </c>
      <c r="F588" s="3">
        <v>44994</v>
      </c>
      <c r="G588" s="4">
        <v>579</v>
      </c>
      <c r="H588" s="4">
        <v>4</v>
      </c>
      <c r="I588" s="4" t="str">
        <f t="shared" si="9"/>
        <v>Standard</v>
      </c>
      <c r="J588" s="2" t="s">
        <v>18</v>
      </c>
      <c r="K588" s="2" t="s">
        <v>19</v>
      </c>
      <c r="L588" s="4">
        <v>3</v>
      </c>
      <c r="M588" s="4">
        <v>322.54000000000002</v>
      </c>
      <c r="N588" s="4">
        <v>967.62</v>
      </c>
      <c r="O588" s="2" t="s">
        <v>43</v>
      </c>
      <c r="P588" t="str">
        <f>IF('Cleaned Data'!N588&gt;JOTTING!F601,"High Sales","Low Sales")</f>
        <v>High Sales</v>
      </c>
    </row>
    <row r="589" spans="2:16" ht="15" x14ac:dyDescent="0.25">
      <c r="B589" s="2" t="s">
        <v>632</v>
      </c>
      <c r="C589" s="2" t="s">
        <v>753</v>
      </c>
      <c r="D589" s="7">
        <v>2023</v>
      </c>
      <c r="E589" s="7" t="s">
        <v>770</v>
      </c>
      <c r="F589" s="3">
        <v>45213</v>
      </c>
      <c r="G589" s="4">
        <v>164</v>
      </c>
      <c r="H589" s="4">
        <v>5</v>
      </c>
      <c r="I589" s="4" t="str">
        <f t="shared" si="9"/>
        <v>Standard</v>
      </c>
      <c r="J589" s="2" t="s">
        <v>30</v>
      </c>
      <c r="K589" s="2" t="s">
        <v>19</v>
      </c>
      <c r="L589" s="4">
        <v>4</v>
      </c>
      <c r="M589" s="4">
        <v>102.74</v>
      </c>
      <c r="N589" s="4">
        <v>410.96</v>
      </c>
      <c r="O589" s="2" t="s">
        <v>31</v>
      </c>
      <c r="P589" t="str">
        <f>IF('Cleaned Data'!N589&gt;JOTTING!F602,"High Sales","Low Sales")</f>
        <v>High Sales</v>
      </c>
    </row>
    <row r="590" spans="2:16" ht="15" x14ac:dyDescent="0.25">
      <c r="B590" s="2" t="s">
        <v>633</v>
      </c>
      <c r="C590" s="2" t="s">
        <v>754</v>
      </c>
      <c r="D590" s="7">
        <v>2023</v>
      </c>
      <c r="E590" s="7" t="s">
        <v>763</v>
      </c>
      <c r="F590" s="3">
        <v>45280</v>
      </c>
      <c r="G590" s="4">
        <v>107</v>
      </c>
      <c r="H590" s="4">
        <v>8</v>
      </c>
      <c r="I590" s="4" t="str">
        <f t="shared" si="9"/>
        <v>Slow</v>
      </c>
      <c r="J590" s="2" t="s">
        <v>51</v>
      </c>
      <c r="K590" s="2" t="s">
        <v>25</v>
      </c>
      <c r="L590" s="4">
        <v>2</v>
      </c>
      <c r="M590" s="4">
        <v>201.74</v>
      </c>
      <c r="N590" s="4">
        <v>403.48</v>
      </c>
      <c r="O590" s="2" t="s">
        <v>26</v>
      </c>
      <c r="P590" t="str">
        <f>IF('Cleaned Data'!N590&gt;JOTTING!F603,"High Sales","Low Sales")</f>
        <v>High Sales</v>
      </c>
    </row>
    <row r="591" spans="2:16" ht="15" x14ac:dyDescent="0.25">
      <c r="B591" s="2" t="s">
        <v>634</v>
      </c>
      <c r="C591" s="2" t="s">
        <v>755</v>
      </c>
      <c r="D591" s="7">
        <v>2023</v>
      </c>
      <c r="E591" s="7" t="s">
        <v>767</v>
      </c>
      <c r="F591" s="3">
        <v>44991</v>
      </c>
      <c r="G591" s="4">
        <v>400</v>
      </c>
      <c r="H591" s="4">
        <v>4</v>
      </c>
      <c r="I591" s="4" t="str">
        <f t="shared" si="9"/>
        <v>Standard</v>
      </c>
      <c r="J591" s="2" t="s">
        <v>24</v>
      </c>
      <c r="K591" s="2" t="s">
        <v>25</v>
      </c>
      <c r="L591" s="4">
        <v>4</v>
      </c>
      <c r="M591" s="4">
        <v>114.28</v>
      </c>
      <c r="N591" s="4">
        <v>457.12</v>
      </c>
      <c r="O591" s="2" t="s">
        <v>26</v>
      </c>
      <c r="P591" t="str">
        <f>IF('Cleaned Data'!N591&gt;JOTTING!F604,"High Sales","Low Sales")</f>
        <v>High Sales</v>
      </c>
    </row>
    <row r="592" spans="2:16" ht="15" x14ac:dyDescent="0.25">
      <c r="B592" s="2" t="s">
        <v>635</v>
      </c>
      <c r="C592" s="2" t="s">
        <v>755</v>
      </c>
      <c r="D592" s="7">
        <v>2023</v>
      </c>
      <c r="E592" s="7" t="s">
        <v>770</v>
      </c>
      <c r="F592" s="3">
        <v>45212</v>
      </c>
      <c r="G592" s="4">
        <v>442</v>
      </c>
      <c r="H592" s="4">
        <v>4</v>
      </c>
      <c r="I592" s="4" t="str">
        <f t="shared" si="9"/>
        <v>Standard</v>
      </c>
      <c r="J592" s="2" t="s">
        <v>42</v>
      </c>
      <c r="K592" s="2" t="s">
        <v>19</v>
      </c>
      <c r="L592" s="4">
        <v>1</v>
      </c>
      <c r="M592" s="4">
        <v>361.43</v>
      </c>
      <c r="N592" s="4">
        <v>361.43</v>
      </c>
      <c r="O592" s="2" t="s">
        <v>31</v>
      </c>
      <c r="P592" t="str">
        <f>IF('Cleaned Data'!N592&gt;JOTTING!F605,"High Sales","Low Sales")</f>
        <v>High Sales</v>
      </c>
    </row>
    <row r="593" spans="2:16" ht="15" x14ac:dyDescent="0.25">
      <c r="B593" s="2" t="s">
        <v>636</v>
      </c>
      <c r="C593" s="2" t="s">
        <v>756</v>
      </c>
      <c r="D593" s="7">
        <v>2023</v>
      </c>
      <c r="E593" s="7" t="s">
        <v>766</v>
      </c>
      <c r="F593" s="3">
        <v>45188</v>
      </c>
      <c r="G593" s="4">
        <v>530</v>
      </c>
      <c r="H593" s="4">
        <v>3</v>
      </c>
      <c r="I593" s="4" t="str">
        <f t="shared" si="9"/>
        <v>Standard</v>
      </c>
      <c r="J593" s="2" t="s">
        <v>55</v>
      </c>
      <c r="K593" s="2" t="s">
        <v>49</v>
      </c>
      <c r="L593" s="4">
        <v>2</v>
      </c>
      <c r="M593" s="4">
        <v>142.81</v>
      </c>
      <c r="N593" s="4">
        <v>285.62</v>
      </c>
      <c r="O593" s="2" t="s">
        <v>26</v>
      </c>
      <c r="P593" t="str">
        <f>IF('Cleaned Data'!N593&gt;JOTTING!F606,"High Sales","Low Sales")</f>
        <v>High Sales</v>
      </c>
    </row>
    <row r="594" spans="2:16" ht="15" x14ac:dyDescent="0.25">
      <c r="B594" s="2" t="s">
        <v>637</v>
      </c>
      <c r="C594" s="2" t="s">
        <v>756</v>
      </c>
      <c r="D594" s="7">
        <v>2023</v>
      </c>
      <c r="E594" s="7" t="s">
        <v>765</v>
      </c>
      <c r="F594" s="3">
        <v>45106</v>
      </c>
      <c r="G594" s="4">
        <v>523</v>
      </c>
      <c r="H594" s="4">
        <v>7</v>
      </c>
      <c r="I594" s="4" t="str">
        <f t="shared" si="9"/>
        <v>Slow</v>
      </c>
      <c r="J594" s="2" t="s">
        <v>18</v>
      </c>
      <c r="K594" s="2" t="s">
        <v>25</v>
      </c>
      <c r="L594" s="4">
        <v>1</v>
      </c>
      <c r="M594" s="4">
        <v>226.34</v>
      </c>
      <c r="N594" s="4">
        <v>226.34</v>
      </c>
      <c r="O594" s="2" t="s">
        <v>20</v>
      </c>
      <c r="P594" t="str">
        <f>IF('Cleaned Data'!N594&gt;JOTTING!F607,"High Sales","Low Sales")</f>
        <v>High Sales</v>
      </c>
    </row>
    <row r="595" spans="2:16" ht="15" x14ac:dyDescent="0.25">
      <c r="B595" s="2" t="s">
        <v>638</v>
      </c>
      <c r="C595" s="2" t="s">
        <v>755</v>
      </c>
      <c r="D595" s="7">
        <v>2023</v>
      </c>
      <c r="E595" s="7" t="s">
        <v>761</v>
      </c>
      <c r="F595" s="3">
        <v>44951</v>
      </c>
      <c r="G595" s="4">
        <v>431</v>
      </c>
      <c r="H595" s="4">
        <v>3</v>
      </c>
      <c r="I595" s="4" t="str">
        <f t="shared" si="9"/>
        <v>Standard</v>
      </c>
      <c r="J595" s="2" t="s">
        <v>51</v>
      </c>
      <c r="K595" s="2" t="s">
        <v>57</v>
      </c>
      <c r="L595" s="4">
        <v>4</v>
      </c>
      <c r="M595" s="4">
        <v>453.05</v>
      </c>
      <c r="N595" s="4">
        <v>1812.2</v>
      </c>
      <c r="O595" s="2" t="s">
        <v>43</v>
      </c>
      <c r="P595" t="str">
        <f>IF('Cleaned Data'!N595&gt;JOTTING!F608,"High Sales","Low Sales")</f>
        <v>High Sales</v>
      </c>
    </row>
    <row r="596" spans="2:16" ht="15" x14ac:dyDescent="0.25">
      <c r="B596" s="2" t="s">
        <v>639</v>
      </c>
      <c r="C596" s="2" t="s">
        <v>755</v>
      </c>
      <c r="D596" s="7">
        <v>2023</v>
      </c>
      <c r="E596" s="7" t="s">
        <v>761</v>
      </c>
      <c r="F596" s="3">
        <v>44957</v>
      </c>
      <c r="G596" s="4">
        <v>537</v>
      </c>
      <c r="H596" s="4">
        <v>3</v>
      </c>
      <c r="I596" s="4" t="str">
        <f t="shared" si="9"/>
        <v>Standard</v>
      </c>
      <c r="J596" s="2" t="s">
        <v>55</v>
      </c>
      <c r="K596" s="2" t="s">
        <v>49</v>
      </c>
      <c r="L596" s="4">
        <v>1</v>
      </c>
      <c r="M596" s="4">
        <v>141.94</v>
      </c>
      <c r="N596" s="4">
        <v>141.94</v>
      </c>
      <c r="O596" s="2" t="s">
        <v>20</v>
      </c>
      <c r="P596" t="str">
        <f>IF('Cleaned Data'!N596&gt;JOTTING!F609,"High Sales","Low Sales")</f>
        <v>High Sales</v>
      </c>
    </row>
    <row r="597" spans="2:16" ht="15" x14ac:dyDescent="0.25">
      <c r="B597" s="2" t="s">
        <v>640</v>
      </c>
      <c r="C597" s="2" t="s">
        <v>757</v>
      </c>
      <c r="D597" s="7">
        <v>2023</v>
      </c>
      <c r="E597" s="7" t="s">
        <v>759</v>
      </c>
      <c r="F597" s="3">
        <v>45243</v>
      </c>
      <c r="G597" s="4">
        <v>687</v>
      </c>
      <c r="H597" s="4">
        <v>5</v>
      </c>
      <c r="I597" s="4" t="str">
        <f t="shared" si="9"/>
        <v>Standard</v>
      </c>
      <c r="J597" s="2" t="s">
        <v>24</v>
      </c>
      <c r="K597" s="2" t="s">
        <v>57</v>
      </c>
      <c r="L597" s="4">
        <v>4</v>
      </c>
      <c r="M597" s="4">
        <v>278.51</v>
      </c>
      <c r="N597" s="4">
        <v>1114.04</v>
      </c>
      <c r="O597" s="2" t="s">
        <v>31</v>
      </c>
      <c r="P597" t="str">
        <f>IF('Cleaned Data'!N597&gt;JOTTING!F610,"High Sales","Low Sales")</f>
        <v>High Sales</v>
      </c>
    </row>
    <row r="598" spans="2:16" ht="15" x14ac:dyDescent="0.25">
      <c r="B598" s="2" t="s">
        <v>641</v>
      </c>
      <c r="C598" s="2" t="s">
        <v>754</v>
      </c>
      <c r="D598" s="7">
        <v>2024</v>
      </c>
      <c r="E598" s="7" t="s">
        <v>761</v>
      </c>
      <c r="F598" s="3">
        <v>45293</v>
      </c>
      <c r="G598" s="4">
        <v>273</v>
      </c>
      <c r="H598" s="4">
        <v>5</v>
      </c>
      <c r="I598" s="4" t="str">
        <f t="shared" si="9"/>
        <v>Standard</v>
      </c>
      <c r="J598" s="2" t="s">
        <v>55</v>
      </c>
      <c r="K598" s="2" t="s">
        <v>19</v>
      </c>
      <c r="L598" s="4">
        <v>1</v>
      </c>
      <c r="M598" s="4">
        <v>238.67</v>
      </c>
      <c r="N598" s="4">
        <v>238.67</v>
      </c>
      <c r="O598" s="2" t="s">
        <v>26</v>
      </c>
      <c r="P598" t="str">
        <f>IF('Cleaned Data'!N598&gt;JOTTING!F611,"High Sales","Low Sales")</f>
        <v>High Sales</v>
      </c>
    </row>
    <row r="599" spans="2:16" ht="15" x14ac:dyDescent="0.25">
      <c r="B599" s="2" t="s">
        <v>642</v>
      </c>
      <c r="C599" s="2" t="s">
        <v>757</v>
      </c>
      <c r="D599" s="7">
        <v>2023</v>
      </c>
      <c r="E599" s="7" t="s">
        <v>766</v>
      </c>
      <c r="F599" s="3">
        <v>45179</v>
      </c>
      <c r="G599" s="4">
        <v>658</v>
      </c>
      <c r="H599" s="4">
        <v>6</v>
      </c>
      <c r="I599" s="4" t="str">
        <f t="shared" si="9"/>
        <v>Standard</v>
      </c>
      <c r="J599" s="2" t="s">
        <v>63</v>
      </c>
      <c r="K599" s="2" t="s">
        <v>19</v>
      </c>
      <c r="L599" s="4">
        <v>4</v>
      </c>
      <c r="M599" s="4">
        <v>58.16</v>
      </c>
      <c r="N599" s="4">
        <v>232.64</v>
      </c>
      <c r="O599" s="2" t="s">
        <v>20</v>
      </c>
      <c r="P599" t="str">
        <f>IF('Cleaned Data'!N599&gt;JOTTING!F612,"High Sales","Low Sales")</f>
        <v>High Sales</v>
      </c>
    </row>
    <row r="600" spans="2:16" ht="15" x14ac:dyDescent="0.25">
      <c r="B600" s="2" t="s">
        <v>643</v>
      </c>
      <c r="C600" s="2" t="s">
        <v>755</v>
      </c>
      <c r="D600" s="7">
        <v>2023</v>
      </c>
      <c r="E600" s="7" t="s">
        <v>765</v>
      </c>
      <c r="F600" s="3">
        <v>45097</v>
      </c>
      <c r="G600" s="4">
        <v>626</v>
      </c>
      <c r="H600" s="4">
        <v>8</v>
      </c>
      <c r="I600" s="4" t="str">
        <f t="shared" si="9"/>
        <v>Slow</v>
      </c>
      <c r="J600" s="2" t="s">
        <v>55</v>
      </c>
      <c r="K600" s="2" t="s">
        <v>49</v>
      </c>
      <c r="L600" s="4">
        <v>3</v>
      </c>
      <c r="M600" s="4">
        <v>406.74</v>
      </c>
      <c r="N600" s="4">
        <v>1220.22</v>
      </c>
      <c r="O600" s="2" t="s">
        <v>20</v>
      </c>
      <c r="P600" t="str">
        <f>IF('Cleaned Data'!N600&gt;JOTTING!F613,"High Sales","Low Sales")</f>
        <v>High Sales</v>
      </c>
    </row>
    <row r="601" spans="2:16" ht="15" x14ac:dyDescent="0.25">
      <c r="B601" s="2" t="s">
        <v>644</v>
      </c>
      <c r="C601" s="2" t="s">
        <v>753</v>
      </c>
      <c r="D601" s="7">
        <v>2023</v>
      </c>
      <c r="E601" s="7" t="s">
        <v>768</v>
      </c>
      <c r="F601" s="3">
        <v>45169</v>
      </c>
      <c r="G601" s="4">
        <v>972</v>
      </c>
      <c r="H601" s="4">
        <v>6</v>
      </c>
      <c r="I601" s="4" t="str">
        <f t="shared" si="9"/>
        <v>Standard</v>
      </c>
      <c r="J601" s="2" t="s">
        <v>18</v>
      </c>
      <c r="K601" s="2" t="s">
        <v>57</v>
      </c>
      <c r="L601" s="4">
        <v>1</v>
      </c>
      <c r="M601" s="4">
        <v>81.069999999999993</v>
      </c>
      <c r="N601" s="4">
        <v>81.069999999999993</v>
      </c>
      <c r="O601" s="2" t="s">
        <v>20</v>
      </c>
      <c r="P601" t="str">
        <f>IF('Cleaned Data'!N601&gt;JOTTING!F614,"High Sales","Low Sales")</f>
        <v>High Sales</v>
      </c>
    </row>
    <row r="602" spans="2:16" ht="15" x14ac:dyDescent="0.25">
      <c r="B602" s="2" t="s">
        <v>645</v>
      </c>
      <c r="C602" s="2" t="s">
        <v>756</v>
      </c>
      <c r="D602" s="7">
        <v>2023</v>
      </c>
      <c r="E602" s="7" t="s">
        <v>768</v>
      </c>
      <c r="F602" s="3">
        <v>45144</v>
      </c>
      <c r="G602" s="4">
        <v>758</v>
      </c>
      <c r="H602" s="4">
        <v>1</v>
      </c>
      <c r="I602" s="4" t="str">
        <f t="shared" si="9"/>
        <v>Early</v>
      </c>
      <c r="J602" s="2" t="s">
        <v>63</v>
      </c>
      <c r="K602" s="2" t="s">
        <v>25</v>
      </c>
      <c r="L602" s="4">
        <v>1</v>
      </c>
      <c r="M602" s="4">
        <v>263.41000000000003</v>
      </c>
      <c r="N602" s="4">
        <v>263.41000000000003</v>
      </c>
      <c r="O602" s="2" t="s">
        <v>43</v>
      </c>
      <c r="P602" t="str">
        <f>IF('Cleaned Data'!N602&gt;JOTTING!F615,"High Sales","Low Sales")</f>
        <v>High Sales</v>
      </c>
    </row>
    <row r="603" spans="2:16" ht="15" x14ac:dyDescent="0.25">
      <c r="B603" s="2" t="s">
        <v>646</v>
      </c>
      <c r="C603" s="2" t="s">
        <v>753</v>
      </c>
      <c r="D603" s="7">
        <v>2023</v>
      </c>
      <c r="E603" s="7" t="s">
        <v>760</v>
      </c>
      <c r="F603" s="3">
        <v>45075</v>
      </c>
      <c r="G603" s="4">
        <v>125</v>
      </c>
      <c r="H603" s="4">
        <v>8</v>
      </c>
      <c r="I603" s="4" t="str">
        <f t="shared" si="9"/>
        <v>Slow</v>
      </c>
      <c r="J603" s="2" t="s">
        <v>24</v>
      </c>
      <c r="K603" s="2" t="s">
        <v>25</v>
      </c>
      <c r="L603" s="4">
        <v>3</v>
      </c>
      <c r="M603" s="4">
        <v>302.31</v>
      </c>
      <c r="N603" s="4">
        <v>906.93</v>
      </c>
      <c r="O603" s="2" t="s">
        <v>31</v>
      </c>
      <c r="P603" t="str">
        <f>IF('Cleaned Data'!N603&gt;JOTTING!F616,"High Sales","Low Sales")</f>
        <v>High Sales</v>
      </c>
    </row>
    <row r="604" spans="2:16" ht="15" x14ac:dyDescent="0.25">
      <c r="B604" s="2" t="s">
        <v>647</v>
      </c>
      <c r="C604" s="2" t="s">
        <v>757</v>
      </c>
      <c r="D604" s="7">
        <v>2023</v>
      </c>
      <c r="E604" s="7" t="s">
        <v>764</v>
      </c>
      <c r="F604" s="3">
        <v>44958</v>
      </c>
      <c r="G604" s="4">
        <v>919</v>
      </c>
      <c r="H604" s="4">
        <v>8</v>
      </c>
      <c r="I604" s="4" t="str">
        <f t="shared" si="9"/>
        <v>Slow</v>
      </c>
      <c r="J604" s="2" t="s">
        <v>51</v>
      </c>
      <c r="K604" s="2" t="s">
        <v>25</v>
      </c>
      <c r="L604" s="4">
        <v>3</v>
      </c>
      <c r="M604" s="4">
        <v>332.79</v>
      </c>
      <c r="N604" s="4">
        <v>998.37</v>
      </c>
      <c r="O604" s="2" t="s">
        <v>31</v>
      </c>
      <c r="P604" t="str">
        <f>IF('Cleaned Data'!N604&gt;JOTTING!F617,"High Sales","Low Sales")</f>
        <v>High Sales</v>
      </c>
    </row>
    <row r="605" spans="2:16" ht="15" x14ac:dyDescent="0.25">
      <c r="B605" s="2" t="s">
        <v>648</v>
      </c>
      <c r="C605" s="2" t="s">
        <v>756</v>
      </c>
      <c r="D605" s="7">
        <v>2023</v>
      </c>
      <c r="E605" s="7" t="s">
        <v>759</v>
      </c>
      <c r="F605" s="3">
        <v>45235</v>
      </c>
      <c r="G605" s="4">
        <v>704</v>
      </c>
      <c r="H605" s="4">
        <v>9</v>
      </c>
      <c r="I605" s="4" t="str">
        <f t="shared" si="9"/>
        <v>Slow</v>
      </c>
      <c r="J605" s="2" t="s">
        <v>63</v>
      </c>
      <c r="K605" s="2" t="s">
        <v>49</v>
      </c>
      <c r="L605" s="4">
        <v>1</v>
      </c>
      <c r="M605" s="4">
        <v>359.88</v>
      </c>
      <c r="N605" s="4">
        <v>359.88</v>
      </c>
      <c r="O605" s="2" t="s">
        <v>26</v>
      </c>
      <c r="P605" t="str">
        <f>IF('Cleaned Data'!N605&gt;JOTTING!F618,"High Sales","Low Sales")</f>
        <v>High Sales</v>
      </c>
    </row>
    <row r="606" spans="2:16" ht="15" x14ac:dyDescent="0.25">
      <c r="B606" s="2" t="s">
        <v>649</v>
      </c>
      <c r="C606" s="2" t="s">
        <v>755</v>
      </c>
      <c r="D606" s="7">
        <v>2023</v>
      </c>
      <c r="E606" s="7" t="s">
        <v>760</v>
      </c>
      <c r="F606" s="3">
        <v>45071</v>
      </c>
      <c r="G606" s="4">
        <v>505</v>
      </c>
      <c r="H606" s="4">
        <v>9</v>
      </c>
      <c r="I606" s="4" t="str">
        <f t="shared" si="9"/>
        <v>Slow</v>
      </c>
      <c r="J606" s="2" t="s">
        <v>18</v>
      </c>
      <c r="K606" s="2" t="s">
        <v>49</v>
      </c>
      <c r="L606" s="4">
        <v>3</v>
      </c>
      <c r="M606" s="4">
        <v>163.97</v>
      </c>
      <c r="N606" s="4">
        <v>491.91</v>
      </c>
      <c r="O606" s="2" t="s">
        <v>26</v>
      </c>
      <c r="P606" t="str">
        <f>IF('Cleaned Data'!N606&gt;JOTTING!F619,"High Sales","Low Sales")</f>
        <v>High Sales</v>
      </c>
    </row>
    <row r="607" spans="2:16" ht="15" x14ac:dyDescent="0.25">
      <c r="B607" s="2" t="s">
        <v>650</v>
      </c>
      <c r="C607" s="2" t="s">
        <v>757</v>
      </c>
      <c r="D607" s="7">
        <v>2023</v>
      </c>
      <c r="E607" s="7" t="s">
        <v>770</v>
      </c>
      <c r="F607" s="3">
        <v>45227</v>
      </c>
      <c r="G607" s="4">
        <v>331</v>
      </c>
      <c r="H607" s="4">
        <v>2</v>
      </c>
      <c r="I607" s="4" t="str">
        <f t="shared" si="9"/>
        <v>Early</v>
      </c>
      <c r="J607" s="2" t="s">
        <v>30</v>
      </c>
      <c r="K607" s="2" t="s">
        <v>39</v>
      </c>
      <c r="L607" s="4">
        <v>2</v>
      </c>
      <c r="M607" s="4">
        <v>54.49</v>
      </c>
      <c r="N607" s="4">
        <v>108.98</v>
      </c>
      <c r="O607" s="2" t="s">
        <v>43</v>
      </c>
      <c r="P607" t="str">
        <f>IF('Cleaned Data'!N607&gt;JOTTING!F620,"High Sales","Low Sales")</f>
        <v>High Sales</v>
      </c>
    </row>
    <row r="608" spans="2:16" ht="15" x14ac:dyDescent="0.25">
      <c r="B608" s="2" t="s">
        <v>651</v>
      </c>
      <c r="C608" s="2" t="s">
        <v>754</v>
      </c>
      <c r="D608" s="7">
        <v>2023</v>
      </c>
      <c r="E608" s="7" t="s">
        <v>769</v>
      </c>
      <c r="F608" s="3">
        <v>45021</v>
      </c>
      <c r="G608" s="4">
        <v>632</v>
      </c>
      <c r="H608" s="4">
        <v>2</v>
      </c>
      <c r="I608" s="4" t="str">
        <f t="shared" si="9"/>
        <v>Early</v>
      </c>
      <c r="J608" s="2" t="s">
        <v>51</v>
      </c>
      <c r="K608" s="2" t="s">
        <v>57</v>
      </c>
      <c r="L608" s="4">
        <v>4</v>
      </c>
      <c r="M608" s="4">
        <v>375.55</v>
      </c>
      <c r="N608" s="4">
        <v>1502.2</v>
      </c>
      <c r="O608" s="2" t="s">
        <v>43</v>
      </c>
      <c r="P608" t="str">
        <f>IF('Cleaned Data'!N608&gt;JOTTING!F621,"High Sales","Low Sales")</f>
        <v>High Sales</v>
      </c>
    </row>
    <row r="609" spans="2:16" ht="15" x14ac:dyDescent="0.25">
      <c r="B609" s="2" t="s">
        <v>652</v>
      </c>
      <c r="C609" s="2" t="s">
        <v>756</v>
      </c>
      <c r="D609" s="7">
        <v>2023</v>
      </c>
      <c r="E609" s="7" t="s">
        <v>761</v>
      </c>
      <c r="F609" s="3">
        <v>44930</v>
      </c>
      <c r="G609" s="4">
        <v>918</v>
      </c>
      <c r="H609" s="4">
        <v>3</v>
      </c>
      <c r="I609" s="4" t="str">
        <f t="shared" si="9"/>
        <v>Standard</v>
      </c>
      <c r="J609" s="2" t="s">
        <v>51</v>
      </c>
      <c r="K609" s="2" t="s">
        <v>19</v>
      </c>
      <c r="L609" s="4">
        <v>4</v>
      </c>
      <c r="M609" s="4">
        <v>291.05</v>
      </c>
      <c r="N609" s="4">
        <v>1164.2</v>
      </c>
      <c r="O609" s="2" t="s">
        <v>20</v>
      </c>
      <c r="P609" t="str">
        <f>IF('Cleaned Data'!N609&gt;JOTTING!F622,"High Sales","Low Sales")</f>
        <v>High Sales</v>
      </c>
    </row>
    <row r="610" spans="2:16" ht="15" x14ac:dyDescent="0.25">
      <c r="B610" s="2" t="s">
        <v>653</v>
      </c>
      <c r="C610" s="2" t="s">
        <v>754</v>
      </c>
      <c r="D610" s="7">
        <v>2023</v>
      </c>
      <c r="E610" s="7" t="s">
        <v>767</v>
      </c>
      <c r="F610" s="3">
        <v>44986</v>
      </c>
      <c r="G610" s="4">
        <v>649</v>
      </c>
      <c r="H610" s="4">
        <v>1</v>
      </c>
      <c r="I610" s="4" t="str">
        <f t="shared" si="9"/>
        <v>Early</v>
      </c>
      <c r="J610" s="2" t="s">
        <v>51</v>
      </c>
      <c r="K610" s="2" t="s">
        <v>19</v>
      </c>
      <c r="L610" s="4">
        <v>4</v>
      </c>
      <c r="M610" s="4">
        <v>426.25</v>
      </c>
      <c r="N610" s="4">
        <v>1705</v>
      </c>
      <c r="O610" s="2" t="s">
        <v>20</v>
      </c>
      <c r="P610" t="str">
        <f>IF('Cleaned Data'!N610&gt;JOTTING!F623,"High Sales","Low Sales")</f>
        <v>High Sales</v>
      </c>
    </row>
    <row r="611" spans="2:16" ht="15" x14ac:dyDescent="0.25">
      <c r="B611" s="2" t="s">
        <v>457</v>
      </c>
      <c r="C611" s="2" t="s">
        <v>753</v>
      </c>
      <c r="D611" s="7">
        <v>2023</v>
      </c>
      <c r="E611" s="7" t="s">
        <v>765</v>
      </c>
      <c r="F611" s="3">
        <v>45102</v>
      </c>
      <c r="G611" s="4">
        <v>887</v>
      </c>
      <c r="H611" s="4">
        <v>4</v>
      </c>
      <c r="I611" s="4" t="str">
        <f t="shared" si="9"/>
        <v>Standard</v>
      </c>
      <c r="J611" s="2" t="s">
        <v>63</v>
      </c>
      <c r="K611" s="2" t="s">
        <v>39</v>
      </c>
      <c r="L611" s="4">
        <v>2</v>
      </c>
      <c r="M611" s="4">
        <v>419.62</v>
      </c>
      <c r="N611" s="4">
        <v>839.24</v>
      </c>
      <c r="O611" s="2" t="s">
        <v>20</v>
      </c>
      <c r="P611" t="str">
        <f>IF('Cleaned Data'!N611&gt;JOTTING!F624,"High Sales","Low Sales")</f>
        <v>High Sales</v>
      </c>
    </row>
    <row r="612" spans="2:16" ht="15" x14ac:dyDescent="0.25">
      <c r="B612" s="2" t="s">
        <v>654</v>
      </c>
      <c r="C612" s="2" t="s">
        <v>753</v>
      </c>
      <c r="D612" s="7">
        <v>2023</v>
      </c>
      <c r="E612" s="7" t="s">
        <v>763</v>
      </c>
      <c r="F612" s="3">
        <v>45275</v>
      </c>
      <c r="G612" s="4">
        <v>604</v>
      </c>
      <c r="H612" s="4">
        <v>4</v>
      </c>
      <c r="I612" s="4" t="str">
        <f t="shared" si="9"/>
        <v>Standard</v>
      </c>
      <c r="J612" s="2" t="s">
        <v>42</v>
      </c>
      <c r="K612" s="2" t="s">
        <v>25</v>
      </c>
      <c r="L612" s="4">
        <v>3</v>
      </c>
      <c r="M612" s="4">
        <v>429.5</v>
      </c>
      <c r="N612" s="4">
        <v>1288.5</v>
      </c>
      <c r="O612" s="2" t="s">
        <v>43</v>
      </c>
      <c r="P612" t="str">
        <f>IF('Cleaned Data'!N612&gt;JOTTING!F625,"High Sales","Low Sales")</f>
        <v>High Sales</v>
      </c>
    </row>
    <row r="613" spans="2:16" ht="15" x14ac:dyDescent="0.25">
      <c r="B613" s="2" t="s">
        <v>525</v>
      </c>
      <c r="C613" s="2" t="s">
        <v>756</v>
      </c>
      <c r="D613" s="7">
        <v>2023</v>
      </c>
      <c r="E613" s="7" t="s">
        <v>764</v>
      </c>
      <c r="F613" s="3">
        <v>44973</v>
      </c>
      <c r="G613" s="4">
        <v>768</v>
      </c>
      <c r="H613" s="4">
        <v>9</v>
      </c>
      <c r="I613" s="4" t="str">
        <f t="shared" si="9"/>
        <v>Slow</v>
      </c>
      <c r="J613" s="2" t="s">
        <v>18</v>
      </c>
      <c r="K613" s="2" t="s">
        <v>49</v>
      </c>
      <c r="L613" s="4">
        <v>3</v>
      </c>
      <c r="M613" s="4">
        <v>268.29000000000002</v>
      </c>
      <c r="N613" s="4">
        <v>804.87</v>
      </c>
      <c r="O613" s="2" t="s">
        <v>43</v>
      </c>
      <c r="P613" t="str">
        <f>IF('Cleaned Data'!N613&gt;JOTTING!F626,"High Sales","Low Sales")</f>
        <v>High Sales</v>
      </c>
    </row>
    <row r="614" spans="2:16" ht="15" x14ac:dyDescent="0.25">
      <c r="B614" s="2" t="s">
        <v>655</v>
      </c>
      <c r="C614" s="2" t="s">
        <v>755</v>
      </c>
      <c r="D614" s="7">
        <v>2023</v>
      </c>
      <c r="E614" s="7" t="s">
        <v>759</v>
      </c>
      <c r="F614" s="3">
        <v>45247</v>
      </c>
      <c r="G614" s="4">
        <v>278</v>
      </c>
      <c r="H614" s="4">
        <v>9</v>
      </c>
      <c r="I614" s="4" t="str">
        <f t="shared" si="9"/>
        <v>Slow</v>
      </c>
      <c r="J614" s="2" t="s">
        <v>42</v>
      </c>
      <c r="K614" s="2" t="s">
        <v>25</v>
      </c>
      <c r="L614" s="4">
        <v>1</v>
      </c>
      <c r="M614" s="4">
        <v>200.13</v>
      </c>
      <c r="N614" s="4">
        <v>200.13</v>
      </c>
      <c r="O614" s="2" t="s">
        <v>43</v>
      </c>
      <c r="P614" t="str">
        <f>IF('Cleaned Data'!N614&gt;JOTTING!F627,"High Sales","Low Sales")</f>
        <v>High Sales</v>
      </c>
    </row>
    <row r="615" spans="2:16" ht="15" x14ac:dyDescent="0.25">
      <c r="B615" s="2" t="s">
        <v>656</v>
      </c>
      <c r="C615" s="2" t="s">
        <v>756</v>
      </c>
      <c r="D615" s="7">
        <v>2023</v>
      </c>
      <c r="E615" s="7" t="s">
        <v>762</v>
      </c>
      <c r="F615" s="3">
        <v>45128</v>
      </c>
      <c r="G615" s="4">
        <v>231</v>
      </c>
      <c r="H615" s="4">
        <v>9</v>
      </c>
      <c r="I615" s="4" t="str">
        <f t="shared" si="9"/>
        <v>Slow</v>
      </c>
      <c r="J615" s="2" t="s">
        <v>42</v>
      </c>
      <c r="K615" s="2" t="s">
        <v>39</v>
      </c>
      <c r="L615" s="4">
        <v>3</v>
      </c>
      <c r="M615" s="4">
        <v>406.2</v>
      </c>
      <c r="N615" s="4">
        <v>1218.5999999999999</v>
      </c>
      <c r="O615" s="2" t="s">
        <v>31</v>
      </c>
      <c r="P615" t="str">
        <f>IF('Cleaned Data'!N615&gt;JOTTING!F628,"High Sales","Low Sales")</f>
        <v>High Sales</v>
      </c>
    </row>
    <row r="616" spans="2:16" ht="15" x14ac:dyDescent="0.25">
      <c r="B616" s="2" t="s">
        <v>657</v>
      </c>
      <c r="C616" s="2" t="s">
        <v>756</v>
      </c>
      <c r="D616" s="7">
        <v>2023</v>
      </c>
      <c r="E616" s="7" t="s">
        <v>759</v>
      </c>
      <c r="F616" s="3">
        <v>45235</v>
      </c>
      <c r="G616" s="4">
        <v>922</v>
      </c>
      <c r="H616" s="4">
        <v>7</v>
      </c>
      <c r="I616" s="4" t="str">
        <f t="shared" si="9"/>
        <v>Slow</v>
      </c>
      <c r="J616" s="2" t="s">
        <v>63</v>
      </c>
      <c r="K616" s="2" t="s">
        <v>19</v>
      </c>
      <c r="L616" s="4">
        <v>1</v>
      </c>
      <c r="M616" s="4">
        <v>253.08</v>
      </c>
      <c r="N616" s="4">
        <v>253.08</v>
      </c>
      <c r="O616" s="2" t="s">
        <v>20</v>
      </c>
      <c r="P616" t="str">
        <f>IF('Cleaned Data'!N616&gt;JOTTING!F629,"High Sales","Low Sales")</f>
        <v>High Sales</v>
      </c>
    </row>
    <row r="617" spans="2:16" ht="15" x14ac:dyDescent="0.25">
      <c r="B617" s="2" t="s">
        <v>658</v>
      </c>
      <c r="C617" s="2" t="s">
        <v>754</v>
      </c>
      <c r="D617" s="7">
        <v>2023</v>
      </c>
      <c r="E617" s="7" t="s">
        <v>769</v>
      </c>
      <c r="F617" s="3">
        <v>45037</v>
      </c>
      <c r="G617" s="4">
        <v>554</v>
      </c>
      <c r="H617" s="4">
        <v>2</v>
      </c>
      <c r="I617" s="4" t="str">
        <f t="shared" si="9"/>
        <v>Early</v>
      </c>
      <c r="J617" s="2" t="s">
        <v>42</v>
      </c>
      <c r="K617" s="2" t="s">
        <v>39</v>
      </c>
      <c r="L617" s="4">
        <v>2</v>
      </c>
      <c r="M617" s="4">
        <v>132.55000000000001</v>
      </c>
      <c r="N617" s="4">
        <v>265.10000000000002</v>
      </c>
      <c r="O617" s="2" t="s">
        <v>20</v>
      </c>
      <c r="P617" t="str">
        <f>IF('Cleaned Data'!N617&gt;JOTTING!F630,"High Sales","Low Sales")</f>
        <v>High Sales</v>
      </c>
    </row>
    <row r="618" spans="2:16" ht="15" x14ac:dyDescent="0.25">
      <c r="B618" s="2" t="s">
        <v>659</v>
      </c>
      <c r="C618" s="2" t="s">
        <v>755</v>
      </c>
      <c r="D618" s="7">
        <v>2023</v>
      </c>
      <c r="E618" s="7" t="s">
        <v>759</v>
      </c>
      <c r="F618" s="3">
        <v>45238</v>
      </c>
      <c r="G618" s="4">
        <v>447</v>
      </c>
      <c r="H618" s="4">
        <v>5</v>
      </c>
      <c r="I618" s="4" t="str">
        <f t="shared" si="9"/>
        <v>Standard</v>
      </c>
      <c r="J618" s="2" t="s">
        <v>51</v>
      </c>
      <c r="K618" s="2" t="s">
        <v>49</v>
      </c>
      <c r="L618" s="4">
        <v>4</v>
      </c>
      <c r="M618" s="4">
        <v>434.74</v>
      </c>
      <c r="N618" s="4">
        <v>1738.96</v>
      </c>
      <c r="O618" s="2" t="s">
        <v>26</v>
      </c>
      <c r="P618" t="str">
        <f>IF('Cleaned Data'!N618&gt;JOTTING!F631,"High Sales","Low Sales")</f>
        <v>High Sales</v>
      </c>
    </row>
    <row r="619" spans="2:16" ht="15" x14ac:dyDescent="0.25">
      <c r="B619" s="2" t="s">
        <v>660</v>
      </c>
      <c r="C619" s="2" t="s">
        <v>757</v>
      </c>
      <c r="D619" s="7">
        <v>2023</v>
      </c>
      <c r="E619" s="7" t="s">
        <v>770</v>
      </c>
      <c r="F619" s="3">
        <v>45213</v>
      </c>
      <c r="G619" s="4">
        <v>639</v>
      </c>
      <c r="H619" s="4">
        <v>4</v>
      </c>
      <c r="I619" s="4" t="str">
        <f t="shared" si="9"/>
        <v>Standard</v>
      </c>
      <c r="J619" s="2" t="s">
        <v>30</v>
      </c>
      <c r="K619" s="2" t="s">
        <v>25</v>
      </c>
      <c r="L619" s="4">
        <v>4</v>
      </c>
      <c r="M619" s="4">
        <v>447.15</v>
      </c>
      <c r="N619" s="4">
        <v>1788.6</v>
      </c>
      <c r="O619" s="2" t="s">
        <v>31</v>
      </c>
      <c r="P619" t="str">
        <f>IF('Cleaned Data'!N619&gt;JOTTING!F632,"High Sales","Low Sales")</f>
        <v>High Sales</v>
      </c>
    </row>
    <row r="620" spans="2:16" ht="15" x14ac:dyDescent="0.25">
      <c r="B620" s="2" t="s">
        <v>661</v>
      </c>
      <c r="C620" s="2" t="s">
        <v>753</v>
      </c>
      <c r="D620" s="7">
        <v>2023</v>
      </c>
      <c r="E620" s="7" t="s">
        <v>769</v>
      </c>
      <c r="F620" s="3">
        <v>45018</v>
      </c>
      <c r="G620" s="4">
        <v>871</v>
      </c>
      <c r="H620" s="4">
        <v>8</v>
      </c>
      <c r="I620" s="4" t="str">
        <f t="shared" si="9"/>
        <v>Slow</v>
      </c>
      <c r="J620" s="2" t="s">
        <v>63</v>
      </c>
      <c r="K620" s="2" t="s">
        <v>57</v>
      </c>
      <c r="L620" s="4">
        <v>4</v>
      </c>
      <c r="M620" s="4">
        <v>259.83999999999997</v>
      </c>
      <c r="N620" s="4">
        <v>1039.3599999999999</v>
      </c>
      <c r="O620" s="2" t="s">
        <v>26</v>
      </c>
      <c r="P620" t="str">
        <f>IF('Cleaned Data'!N620&gt;JOTTING!F633,"High Sales","Low Sales")</f>
        <v>High Sales</v>
      </c>
    </row>
    <row r="621" spans="2:16" ht="15" x14ac:dyDescent="0.25">
      <c r="B621" s="2" t="s">
        <v>662</v>
      </c>
      <c r="C621" s="2" t="s">
        <v>755</v>
      </c>
      <c r="D621" s="7">
        <v>2023</v>
      </c>
      <c r="E621" s="7" t="s">
        <v>764</v>
      </c>
      <c r="F621" s="3">
        <v>44976</v>
      </c>
      <c r="G621" s="4">
        <v>505</v>
      </c>
      <c r="H621" s="4">
        <v>2</v>
      </c>
      <c r="I621" s="4" t="str">
        <f t="shared" si="9"/>
        <v>Early</v>
      </c>
      <c r="J621" s="2" t="s">
        <v>63</v>
      </c>
      <c r="K621" s="2" t="s">
        <v>25</v>
      </c>
      <c r="L621" s="4">
        <v>3</v>
      </c>
      <c r="M621" s="4">
        <v>84.06</v>
      </c>
      <c r="N621" s="4">
        <v>252.18</v>
      </c>
      <c r="O621" s="2" t="s">
        <v>26</v>
      </c>
      <c r="P621" t="str">
        <f>IF('Cleaned Data'!N621&gt;JOTTING!F634,"High Sales","Low Sales")</f>
        <v>High Sales</v>
      </c>
    </row>
    <row r="622" spans="2:16" ht="15" x14ac:dyDescent="0.25">
      <c r="B622" s="2" t="s">
        <v>663</v>
      </c>
      <c r="C622" s="2" t="s">
        <v>753</v>
      </c>
      <c r="D622" s="7">
        <v>2023</v>
      </c>
      <c r="E622" s="7" t="s">
        <v>759</v>
      </c>
      <c r="F622" s="3">
        <v>45249</v>
      </c>
      <c r="G622" s="4">
        <v>175</v>
      </c>
      <c r="H622" s="4">
        <v>6</v>
      </c>
      <c r="I622" s="4" t="str">
        <f t="shared" si="9"/>
        <v>Standard</v>
      </c>
      <c r="J622" s="2" t="s">
        <v>63</v>
      </c>
      <c r="K622" s="2" t="s">
        <v>25</v>
      </c>
      <c r="L622" s="4">
        <v>1</v>
      </c>
      <c r="M622" s="4">
        <v>224.52</v>
      </c>
      <c r="N622" s="4">
        <v>224.52</v>
      </c>
      <c r="O622" s="2" t="s">
        <v>26</v>
      </c>
      <c r="P622" t="str">
        <f>IF('Cleaned Data'!N622&gt;JOTTING!F635,"High Sales","Low Sales")</f>
        <v>High Sales</v>
      </c>
    </row>
    <row r="623" spans="2:16" ht="15" x14ac:dyDescent="0.25">
      <c r="B623" s="2" t="s">
        <v>664</v>
      </c>
      <c r="C623" s="2" t="s">
        <v>754</v>
      </c>
      <c r="D623" s="7">
        <v>2023</v>
      </c>
      <c r="E623" s="7" t="s">
        <v>763</v>
      </c>
      <c r="F623" s="3">
        <v>45283</v>
      </c>
      <c r="G623" s="4">
        <v>678</v>
      </c>
      <c r="H623" s="4">
        <v>5</v>
      </c>
      <c r="I623" s="4" t="str">
        <f t="shared" si="9"/>
        <v>Standard</v>
      </c>
      <c r="J623" s="2" t="s">
        <v>30</v>
      </c>
      <c r="K623" s="2" t="s">
        <v>19</v>
      </c>
      <c r="L623" s="4">
        <v>1</v>
      </c>
      <c r="M623" s="4">
        <v>411.59</v>
      </c>
      <c r="N623" s="4">
        <v>411.59</v>
      </c>
      <c r="O623" s="2" t="s">
        <v>43</v>
      </c>
      <c r="P623" t="str">
        <f>IF('Cleaned Data'!N623&gt;JOTTING!F636,"High Sales","Low Sales")</f>
        <v>High Sales</v>
      </c>
    </row>
    <row r="624" spans="2:16" ht="15" x14ac:dyDescent="0.25">
      <c r="B624" s="2" t="s">
        <v>665</v>
      </c>
      <c r="C624" s="2" t="s">
        <v>757</v>
      </c>
      <c r="D624" s="7">
        <v>2023</v>
      </c>
      <c r="E624" s="7" t="s">
        <v>761</v>
      </c>
      <c r="F624" s="3">
        <v>44940</v>
      </c>
      <c r="G624" s="4">
        <v>953</v>
      </c>
      <c r="H624" s="4">
        <v>2</v>
      </c>
      <c r="I624" s="4" t="str">
        <f t="shared" si="9"/>
        <v>Early</v>
      </c>
      <c r="J624" s="2" t="s">
        <v>30</v>
      </c>
      <c r="K624" s="2" t="s">
        <v>25</v>
      </c>
      <c r="L624" s="4">
        <v>2</v>
      </c>
      <c r="M624" s="4">
        <v>455.8</v>
      </c>
      <c r="N624" s="4">
        <v>911.6</v>
      </c>
      <c r="O624" s="2" t="s">
        <v>31</v>
      </c>
      <c r="P624" t="str">
        <f>IF('Cleaned Data'!N624&gt;JOTTING!F637,"High Sales","Low Sales")</f>
        <v>High Sales</v>
      </c>
    </row>
    <row r="625" spans="2:16" ht="15" x14ac:dyDescent="0.25">
      <c r="B625" s="2" t="s">
        <v>666</v>
      </c>
      <c r="C625" s="2" t="s">
        <v>756</v>
      </c>
      <c r="D625" s="7">
        <v>2023</v>
      </c>
      <c r="E625" s="7" t="s">
        <v>766</v>
      </c>
      <c r="F625" s="3">
        <v>45194</v>
      </c>
      <c r="G625" s="4">
        <v>591</v>
      </c>
      <c r="H625" s="4">
        <v>1</v>
      </c>
      <c r="I625" s="4" t="str">
        <f t="shared" si="9"/>
        <v>Early</v>
      </c>
      <c r="J625" s="2" t="s">
        <v>24</v>
      </c>
      <c r="K625" s="2" t="s">
        <v>49</v>
      </c>
      <c r="L625" s="4">
        <v>3</v>
      </c>
      <c r="M625" s="4">
        <v>141.56</v>
      </c>
      <c r="N625" s="4">
        <v>424.68</v>
      </c>
      <c r="O625" s="2" t="s">
        <v>26</v>
      </c>
      <c r="P625" t="str">
        <f>IF('Cleaned Data'!N625&gt;JOTTING!F638,"High Sales","Low Sales")</f>
        <v>High Sales</v>
      </c>
    </row>
    <row r="626" spans="2:16" ht="15" x14ac:dyDescent="0.25">
      <c r="B626" s="2" t="s">
        <v>667</v>
      </c>
      <c r="C626" s="2" t="s">
        <v>753</v>
      </c>
      <c r="D626" s="7">
        <v>2023</v>
      </c>
      <c r="E626" s="7" t="s">
        <v>763</v>
      </c>
      <c r="F626" s="3">
        <v>45266</v>
      </c>
      <c r="G626" s="4">
        <v>293</v>
      </c>
      <c r="H626" s="4">
        <v>8</v>
      </c>
      <c r="I626" s="4" t="str">
        <f t="shared" si="9"/>
        <v>Slow</v>
      </c>
      <c r="J626" s="2" t="s">
        <v>51</v>
      </c>
      <c r="K626" s="2" t="s">
        <v>19</v>
      </c>
      <c r="L626" s="4">
        <v>2</v>
      </c>
      <c r="M626" s="4">
        <v>80.14</v>
      </c>
      <c r="N626" s="4">
        <v>160.28</v>
      </c>
      <c r="O626" s="2" t="s">
        <v>26</v>
      </c>
      <c r="P626" t="str">
        <f>IF('Cleaned Data'!N626&gt;JOTTING!F639,"High Sales","Low Sales")</f>
        <v>High Sales</v>
      </c>
    </row>
    <row r="627" spans="2:16" ht="15" x14ac:dyDescent="0.25">
      <c r="B627" s="2" t="s">
        <v>668</v>
      </c>
      <c r="C627" s="2" t="s">
        <v>755</v>
      </c>
      <c r="D627" s="7">
        <v>2023</v>
      </c>
      <c r="E627" s="7" t="s">
        <v>759</v>
      </c>
      <c r="F627" s="3">
        <v>45241</v>
      </c>
      <c r="G627" s="4">
        <v>261</v>
      </c>
      <c r="H627" s="4">
        <v>2</v>
      </c>
      <c r="I627" s="4" t="str">
        <f t="shared" si="9"/>
        <v>Early</v>
      </c>
      <c r="J627" s="2" t="s">
        <v>30</v>
      </c>
      <c r="K627" s="2" t="s">
        <v>39</v>
      </c>
      <c r="L627" s="4">
        <v>1</v>
      </c>
      <c r="M627" s="4">
        <v>444.81</v>
      </c>
      <c r="N627" s="4">
        <v>444.81</v>
      </c>
      <c r="O627" s="2" t="s">
        <v>26</v>
      </c>
      <c r="P627" t="str">
        <f>IF('Cleaned Data'!N627&gt;JOTTING!F640,"High Sales","Low Sales")</f>
        <v>High Sales</v>
      </c>
    </row>
    <row r="628" spans="2:16" ht="15" x14ac:dyDescent="0.25">
      <c r="B628" s="2" t="s">
        <v>669</v>
      </c>
      <c r="C628" s="2" t="s">
        <v>755</v>
      </c>
      <c r="D628" s="7">
        <v>2023</v>
      </c>
      <c r="E628" s="7" t="s">
        <v>763</v>
      </c>
      <c r="F628" s="3">
        <v>45286</v>
      </c>
      <c r="G628" s="4">
        <v>446</v>
      </c>
      <c r="H628" s="4">
        <v>7</v>
      </c>
      <c r="I628" s="4" t="str">
        <f t="shared" si="9"/>
        <v>Slow</v>
      </c>
      <c r="J628" s="2" t="s">
        <v>55</v>
      </c>
      <c r="K628" s="2" t="s">
        <v>25</v>
      </c>
      <c r="L628" s="4">
        <v>1</v>
      </c>
      <c r="M628" s="4">
        <v>225.23</v>
      </c>
      <c r="N628" s="4">
        <v>225.23</v>
      </c>
      <c r="O628" s="2" t="s">
        <v>20</v>
      </c>
      <c r="P628" t="str">
        <f>IF('Cleaned Data'!N628&gt;JOTTING!F641,"High Sales","Low Sales")</f>
        <v>High Sales</v>
      </c>
    </row>
    <row r="629" spans="2:16" ht="15" x14ac:dyDescent="0.25">
      <c r="B629" s="2" t="s">
        <v>670</v>
      </c>
      <c r="C629" s="2" t="s">
        <v>757</v>
      </c>
      <c r="D629" s="7">
        <v>2023</v>
      </c>
      <c r="E629" s="7" t="s">
        <v>770</v>
      </c>
      <c r="F629" s="3">
        <v>45213</v>
      </c>
      <c r="G629" s="4">
        <v>460</v>
      </c>
      <c r="H629" s="4">
        <v>9</v>
      </c>
      <c r="I629" s="4" t="str">
        <f t="shared" si="9"/>
        <v>Slow</v>
      </c>
      <c r="J629" s="2" t="s">
        <v>30</v>
      </c>
      <c r="K629" s="2" t="s">
        <v>19</v>
      </c>
      <c r="L629" s="4">
        <v>4</v>
      </c>
      <c r="M629" s="4">
        <v>293.79000000000002</v>
      </c>
      <c r="N629" s="4">
        <v>1175.1600000000001</v>
      </c>
      <c r="O629" s="2" t="s">
        <v>26</v>
      </c>
      <c r="P629" t="str">
        <f>IF('Cleaned Data'!N629&gt;JOTTING!F642,"High Sales","Low Sales")</f>
        <v>High Sales</v>
      </c>
    </row>
    <row r="630" spans="2:16" ht="15" x14ac:dyDescent="0.25">
      <c r="B630" s="2" t="s">
        <v>671</v>
      </c>
      <c r="C630" s="2" t="s">
        <v>754</v>
      </c>
      <c r="D630" s="7">
        <v>2023</v>
      </c>
      <c r="E630" s="7" t="s">
        <v>765</v>
      </c>
      <c r="F630" s="3">
        <v>45097</v>
      </c>
      <c r="G630" s="4">
        <v>868</v>
      </c>
      <c r="H630" s="4">
        <v>9</v>
      </c>
      <c r="I630" s="4" t="str">
        <f t="shared" si="9"/>
        <v>Slow</v>
      </c>
      <c r="J630" s="2" t="s">
        <v>55</v>
      </c>
      <c r="K630" s="2" t="s">
        <v>19</v>
      </c>
      <c r="L630" s="4">
        <v>3</v>
      </c>
      <c r="M630" s="4">
        <v>485.63</v>
      </c>
      <c r="N630" s="4">
        <v>1456.89</v>
      </c>
      <c r="O630" s="2" t="s">
        <v>20</v>
      </c>
      <c r="P630" t="str">
        <f>IF('Cleaned Data'!N630&gt;JOTTING!F643,"High Sales","Low Sales")</f>
        <v>High Sales</v>
      </c>
    </row>
    <row r="631" spans="2:16" ht="15" x14ac:dyDescent="0.25">
      <c r="B631" s="2" t="s">
        <v>672</v>
      </c>
      <c r="C631" s="2" t="s">
        <v>756</v>
      </c>
      <c r="D631" s="7">
        <v>2023</v>
      </c>
      <c r="E631" s="7" t="s">
        <v>760</v>
      </c>
      <c r="F631" s="3">
        <v>45048</v>
      </c>
      <c r="G631" s="4">
        <v>683</v>
      </c>
      <c r="H631" s="4">
        <v>8</v>
      </c>
      <c r="I631" s="4" t="str">
        <f t="shared" si="9"/>
        <v>Slow</v>
      </c>
      <c r="J631" s="2" t="s">
        <v>55</v>
      </c>
      <c r="K631" s="2" t="s">
        <v>39</v>
      </c>
      <c r="L631" s="4">
        <v>1</v>
      </c>
      <c r="M631" s="4">
        <v>79.95</v>
      </c>
      <c r="N631" s="4">
        <v>79.95</v>
      </c>
      <c r="O631" s="2" t="s">
        <v>31</v>
      </c>
      <c r="P631" t="str">
        <f>IF('Cleaned Data'!N631&gt;JOTTING!F644,"High Sales","Low Sales")</f>
        <v>High Sales</v>
      </c>
    </row>
    <row r="632" spans="2:16" ht="15" x14ac:dyDescent="0.25">
      <c r="B632" s="2" t="s">
        <v>673</v>
      </c>
      <c r="C632" s="2" t="s">
        <v>755</v>
      </c>
      <c r="D632" s="7">
        <v>2023</v>
      </c>
      <c r="E632" s="7" t="s">
        <v>760</v>
      </c>
      <c r="F632" s="3">
        <v>45053</v>
      </c>
      <c r="G632" s="4">
        <v>186</v>
      </c>
      <c r="H632" s="4">
        <v>9</v>
      </c>
      <c r="I632" s="4" t="str">
        <f t="shared" si="9"/>
        <v>Slow</v>
      </c>
      <c r="J632" s="2" t="s">
        <v>63</v>
      </c>
      <c r="K632" s="2" t="s">
        <v>57</v>
      </c>
      <c r="L632" s="4">
        <v>4</v>
      </c>
      <c r="M632" s="4">
        <v>341.74</v>
      </c>
      <c r="N632" s="4">
        <v>1366.96</v>
      </c>
      <c r="O632" s="2" t="s">
        <v>26</v>
      </c>
      <c r="P632" t="str">
        <f>IF('Cleaned Data'!N632&gt;JOTTING!F645,"High Sales","Low Sales")</f>
        <v>High Sales</v>
      </c>
    </row>
    <row r="633" spans="2:16" ht="15" x14ac:dyDescent="0.25">
      <c r="B633" s="2" t="s">
        <v>674</v>
      </c>
      <c r="C633" s="2" t="s">
        <v>753</v>
      </c>
      <c r="D633" s="7">
        <v>2023</v>
      </c>
      <c r="E633" s="7" t="s">
        <v>766</v>
      </c>
      <c r="F633" s="3">
        <v>45193</v>
      </c>
      <c r="G633" s="4">
        <v>361</v>
      </c>
      <c r="H633" s="4">
        <v>2</v>
      </c>
      <c r="I633" s="4" t="str">
        <f t="shared" si="9"/>
        <v>Early</v>
      </c>
      <c r="J633" s="2" t="s">
        <v>63</v>
      </c>
      <c r="K633" s="2" t="s">
        <v>49</v>
      </c>
      <c r="L633" s="4">
        <v>3</v>
      </c>
      <c r="M633" s="4">
        <v>83.35</v>
      </c>
      <c r="N633" s="4">
        <v>250.05</v>
      </c>
      <c r="O633" s="2" t="s">
        <v>31</v>
      </c>
      <c r="P633" t="str">
        <f>IF('Cleaned Data'!N633&gt;JOTTING!F646,"High Sales","Low Sales")</f>
        <v>High Sales</v>
      </c>
    </row>
    <row r="634" spans="2:16" ht="15" x14ac:dyDescent="0.25">
      <c r="B634" s="2" t="s">
        <v>675</v>
      </c>
      <c r="C634" s="2" t="s">
        <v>757</v>
      </c>
      <c r="D634" s="7">
        <v>2023</v>
      </c>
      <c r="E634" s="7" t="s">
        <v>770</v>
      </c>
      <c r="F634" s="3">
        <v>45205</v>
      </c>
      <c r="G634" s="4">
        <v>313</v>
      </c>
      <c r="H634" s="4">
        <v>6</v>
      </c>
      <c r="I634" s="4" t="str">
        <f t="shared" si="9"/>
        <v>Standard</v>
      </c>
      <c r="J634" s="2" t="s">
        <v>42</v>
      </c>
      <c r="K634" s="2" t="s">
        <v>57</v>
      </c>
      <c r="L634" s="4">
        <v>2</v>
      </c>
      <c r="M634" s="4">
        <v>218.96</v>
      </c>
      <c r="N634" s="4">
        <v>437.92</v>
      </c>
      <c r="O634" s="2" t="s">
        <v>26</v>
      </c>
      <c r="P634" t="str">
        <f>IF('Cleaned Data'!N634&gt;JOTTING!F647,"High Sales","Low Sales")</f>
        <v>High Sales</v>
      </c>
    </row>
    <row r="635" spans="2:16" ht="15" x14ac:dyDescent="0.25">
      <c r="B635" s="2" t="s">
        <v>676</v>
      </c>
      <c r="C635" s="2" t="s">
        <v>757</v>
      </c>
      <c r="D635" s="7">
        <v>2023</v>
      </c>
      <c r="E635" s="7" t="s">
        <v>767</v>
      </c>
      <c r="F635" s="3">
        <v>45004</v>
      </c>
      <c r="G635" s="4">
        <v>764</v>
      </c>
      <c r="H635" s="4">
        <v>4</v>
      </c>
      <c r="I635" s="4" t="str">
        <f t="shared" si="9"/>
        <v>Standard</v>
      </c>
      <c r="J635" s="2" t="s">
        <v>63</v>
      </c>
      <c r="K635" s="2" t="s">
        <v>25</v>
      </c>
      <c r="L635" s="4">
        <v>3</v>
      </c>
      <c r="M635" s="4">
        <v>411.72</v>
      </c>
      <c r="N635" s="4">
        <v>1235.1600000000001</v>
      </c>
      <c r="O635" s="2" t="s">
        <v>43</v>
      </c>
      <c r="P635" t="str">
        <f>IF('Cleaned Data'!N635&gt;JOTTING!F648,"High Sales","Low Sales")</f>
        <v>High Sales</v>
      </c>
    </row>
    <row r="636" spans="2:16" ht="15" x14ac:dyDescent="0.25">
      <c r="B636" s="2" t="s">
        <v>677</v>
      </c>
      <c r="C636" s="2" t="s">
        <v>754</v>
      </c>
      <c r="D636" s="7">
        <v>2023</v>
      </c>
      <c r="E636" s="7" t="s">
        <v>759</v>
      </c>
      <c r="F636" s="3">
        <v>45247</v>
      </c>
      <c r="G636" s="4">
        <v>821</v>
      </c>
      <c r="H636" s="4">
        <v>4</v>
      </c>
      <c r="I636" s="4" t="str">
        <f t="shared" si="9"/>
        <v>Standard</v>
      </c>
      <c r="J636" s="2" t="s">
        <v>42</v>
      </c>
      <c r="K636" s="2" t="s">
        <v>49</v>
      </c>
      <c r="L636" s="4">
        <v>3</v>
      </c>
      <c r="M636" s="4">
        <v>245.06</v>
      </c>
      <c r="N636" s="4">
        <v>735.18</v>
      </c>
      <c r="O636" s="2" t="s">
        <v>20</v>
      </c>
      <c r="P636" t="str">
        <f>IF('Cleaned Data'!N636&gt;JOTTING!F649,"High Sales","Low Sales")</f>
        <v>High Sales</v>
      </c>
    </row>
    <row r="637" spans="2:16" ht="15" x14ac:dyDescent="0.25">
      <c r="B637" s="2" t="s">
        <v>678</v>
      </c>
      <c r="C637" s="2" t="s">
        <v>753</v>
      </c>
      <c r="D637" s="7">
        <v>2023</v>
      </c>
      <c r="E637" s="7" t="s">
        <v>766</v>
      </c>
      <c r="F637" s="3">
        <v>45192</v>
      </c>
      <c r="G637" s="4">
        <v>672</v>
      </c>
      <c r="H637" s="4">
        <v>5</v>
      </c>
      <c r="I637" s="4" t="str">
        <f t="shared" si="9"/>
        <v>Standard</v>
      </c>
      <c r="J637" s="2" t="s">
        <v>30</v>
      </c>
      <c r="K637" s="2" t="s">
        <v>39</v>
      </c>
      <c r="L637" s="4">
        <v>1</v>
      </c>
      <c r="M637" s="4">
        <v>498.73</v>
      </c>
      <c r="N637" s="4">
        <v>498.73</v>
      </c>
      <c r="O637" s="2" t="s">
        <v>20</v>
      </c>
      <c r="P637" t="str">
        <f>IF('Cleaned Data'!N637&gt;JOTTING!F650,"High Sales","Low Sales")</f>
        <v>High Sales</v>
      </c>
    </row>
    <row r="638" spans="2:16" ht="15" x14ac:dyDescent="0.25">
      <c r="B638" s="2" t="s">
        <v>679</v>
      </c>
      <c r="C638" s="2" t="s">
        <v>754</v>
      </c>
      <c r="D638" s="7">
        <v>2023</v>
      </c>
      <c r="E638" s="7" t="s">
        <v>762</v>
      </c>
      <c r="F638" s="3">
        <v>45135</v>
      </c>
      <c r="G638" s="4">
        <v>879</v>
      </c>
      <c r="H638" s="4">
        <v>3</v>
      </c>
      <c r="I638" s="4" t="str">
        <f t="shared" si="9"/>
        <v>Standard</v>
      </c>
      <c r="J638" s="2" t="s">
        <v>42</v>
      </c>
      <c r="K638" s="2" t="s">
        <v>57</v>
      </c>
      <c r="L638" s="4">
        <v>1</v>
      </c>
      <c r="M638" s="4">
        <v>301.58</v>
      </c>
      <c r="N638" s="4">
        <v>301.58</v>
      </c>
      <c r="O638" s="2" t="s">
        <v>20</v>
      </c>
      <c r="P638" t="str">
        <f>IF('Cleaned Data'!N638&gt;JOTTING!F651,"High Sales","Low Sales")</f>
        <v>High Sales</v>
      </c>
    </row>
    <row r="639" spans="2:16" ht="15" x14ac:dyDescent="0.25">
      <c r="B639" s="2" t="s">
        <v>680</v>
      </c>
      <c r="C639" s="2" t="s">
        <v>753</v>
      </c>
      <c r="D639" s="7">
        <v>2023</v>
      </c>
      <c r="E639" s="7" t="s">
        <v>765</v>
      </c>
      <c r="F639" s="3">
        <v>45100</v>
      </c>
      <c r="G639" s="4">
        <v>361</v>
      </c>
      <c r="H639" s="4">
        <v>1</v>
      </c>
      <c r="I639" s="4" t="str">
        <f t="shared" si="9"/>
        <v>Early</v>
      </c>
      <c r="J639" s="2" t="s">
        <v>42</v>
      </c>
      <c r="K639" s="2" t="s">
        <v>19</v>
      </c>
      <c r="L639" s="4">
        <v>3</v>
      </c>
      <c r="M639" s="4">
        <v>194.52</v>
      </c>
      <c r="N639" s="4">
        <v>583.55999999999995</v>
      </c>
      <c r="O639" s="2" t="s">
        <v>26</v>
      </c>
      <c r="P639" t="str">
        <f>IF('Cleaned Data'!N639&gt;JOTTING!F652,"High Sales","Low Sales")</f>
        <v>High Sales</v>
      </c>
    </row>
    <row r="640" spans="2:16" ht="15" x14ac:dyDescent="0.25">
      <c r="B640" s="2" t="s">
        <v>681</v>
      </c>
      <c r="C640" s="2" t="s">
        <v>755</v>
      </c>
      <c r="D640" s="7">
        <v>2023</v>
      </c>
      <c r="E640" s="7" t="s">
        <v>762</v>
      </c>
      <c r="F640" s="3">
        <v>45133</v>
      </c>
      <c r="G640" s="4">
        <v>829</v>
      </c>
      <c r="H640" s="4">
        <v>8</v>
      </c>
      <c r="I640" s="4" t="str">
        <f t="shared" si="9"/>
        <v>Slow</v>
      </c>
      <c r="J640" s="2" t="s">
        <v>51</v>
      </c>
      <c r="K640" s="2" t="s">
        <v>19</v>
      </c>
      <c r="L640" s="4">
        <v>1</v>
      </c>
      <c r="M640" s="4">
        <v>149.05000000000001</v>
      </c>
      <c r="N640" s="4">
        <v>149.05000000000001</v>
      </c>
      <c r="O640" s="2" t="s">
        <v>26</v>
      </c>
      <c r="P640" t="str">
        <f>IF('Cleaned Data'!N640&gt;JOTTING!F653,"High Sales","Low Sales")</f>
        <v>High Sales</v>
      </c>
    </row>
    <row r="641" spans="2:16" ht="15" x14ac:dyDescent="0.25">
      <c r="B641" s="2" t="s">
        <v>682</v>
      </c>
      <c r="C641" s="2" t="s">
        <v>755</v>
      </c>
      <c r="D641" s="7">
        <v>2023</v>
      </c>
      <c r="E641" s="7" t="s">
        <v>767</v>
      </c>
      <c r="F641" s="3">
        <v>44990</v>
      </c>
      <c r="G641" s="4">
        <v>382</v>
      </c>
      <c r="H641" s="4">
        <v>5</v>
      </c>
      <c r="I641" s="4" t="str">
        <f t="shared" si="9"/>
        <v>Standard</v>
      </c>
      <c r="J641" s="2" t="s">
        <v>63</v>
      </c>
      <c r="K641" s="2" t="s">
        <v>39</v>
      </c>
      <c r="L641" s="4">
        <v>1</v>
      </c>
      <c r="M641" s="4">
        <v>207.73</v>
      </c>
      <c r="N641" s="4">
        <v>207.73</v>
      </c>
      <c r="O641" s="2" t="s">
        <v>31</v>
      </c>
      <c r="P641" t="str">
        <f>IF('Cleaned Data'!N641&gt;JOTTING!F654,"High Sales","Low Sales")</f>
        <v>High Sales</v>
      </c>
    </row>
    <row r="642" spans="2:16" ht="15" x14ac:dyDescent="0.25">
      <c r="B642" s="2" t="s">
        <v>683</v>
      </c>
      <c r="C642" s="2" t="s">
        <v>756</v>
      </c>
      <c r="D642" s="7">
        <v>2023</v>
      </c>
      <c r="E642" s="7" t="s">
        <v>767</v>
      </c>
      <c r="F642" s="3">
        <v>45004</v>
      </c>
      <c r="G642" s="4">
        <v>747</v>
      </c>
      <c r="H642" s="4">
        <v>3</v>
      </c>
      <c r="I642" s="4" t="str">
        <f t="shared" si="9"/>
        <v>Standard</v>
      </c>
      <c r="J642" s="2" t="s">
        <v>63</v>
      </c>
      <c r="K642" s="2" t="s">
        <v>19</v>
      </c>
      <c r="L642" s="4">
        <v>1</v>
      </c>
      <c r="M642" s="4">
        <v>217.64</v>
      </c>
      <c r="N642" s="4">
        <v>217.64</v>
      </c>
      <c r="O642" s="2" t="s">
        <v>20</v>
      </c>
      <c r="P642" t="str">
        <f>IF('Cleaned Data'!N642&gt;JOTTING!F655,"High Sales","Low Sales")</f>
        <v>High Sales</v>
      </c>
    </row>
    <row r="643" spans="2:16" ht="15" x14ac:dyDescent="0.25">
      <c r="B643" s="2" t="s">
        <v>684</v>
      </c>
      <c r="C643" s="2" t="s">
        <v>756</v>
      </c>
      <c r="D643" s="7">
        <v>2023</v>
      </c>
      <c r="E643" s="7" t="s">
        <v>764</v>
      </c>
      <c r="F643" s="3">
        <v>44967</v>
      </c>
      <c r="G643" s="4">
        <v>566</v>
      </c>
      <c r="H643" s="4">
        <v>7</v>
      </c>
      <c r="I643" s="4" t="str">
        <f t="shared" ref="I643:I701" si="10">_xlfn.IFS(H643&lt;3,"Early",H643&lt;=6,"Standard",H643&lt;=9,"Slow")</f>
        <v>Slow</v>
      </c>
      <c r="J643" s="2" t="s">
        <v>42</v>
      </c>
      <c r="K643" s="2" t="s">
        <v>19</v>
      </c>
      <c r="L643" s="4">
        <v>4</v>
      </c>
      <c r="M643" s="4">
        <v>80.92</v>
      </c>
      <c r="N643" s="4">
        <v>323.68</v>
      </c>
      <c r="O643" s="2" t="s">
        <v>26</v>
      </c>
      <c r="P643" t="str">
        <f>IF('Cleaned Data'!N643&gt;JOTTING!F656,"High Sales","Low Sales")</f>
        <v>High Sales</v>
      </c>
    </row>
    <row r="644" spans="2:16" ht="15" x14ac:dyDescent="0.25">
      <c r="B644" s="2" t="s">
        <v>685</v>
      </c>
      <c r="C644" s="2" t="s">
        <v>756</v>
      </c>
      <c r="D644" s="7">
        <v>2023</v>
      </c>
      <c r="E644" s="7" t="s">
        <v>767</v>
      </c>
      <c r="F644" s="3">
        <v>44990</v>
      </c>
      <c r="G644" s="4">
        <v>479</v>
      </c>
      <c r="H644" s="4">
        <v>7</v>
      </c>
      <c r="I644" s="4" t="str">
        <f t="shared" si="10"/>
        <v>Slow</v>
      </c>
      <c r="J644" s="2" t="s">
        <v>63</v>
      </c>
      <c r="K644" s="2" t="s">
        <v>39</v>
      </c>
      <c r="L644" s="4">
        <v>4</v>
      </c>
      <c r="M644" s="4">
        <v>216.31</v>
      </c>
      <c r="N644" s="4">
        <v>865.24</v>
      </c>
      <c r="O644" s="2" t="s">
        <v>20</v>
      </c>
      <c r="P644" t="str">
        <f>IF('Cleaned Data'!N644&gt;JOTTING!F657,"High Sales","Low Sales")</f>
        <v>High Sales</v>
      </c>
    </row>
    <row r="645" spans="2:16" ht="15" x14ac:dyDescent="0.25">
      <c r="B645" s="2" t="s">
        <v>686</v>
      </c>
      <c r="C645" s="2" t="s">
        <v>756</v>
      </c>
      <c r="D645" s="7">
        <v>2023</v>
      </c>
      <c r="E645" s="7" t="s">
        <v>765</v>
      </c>
      <c r="F645" s="3">
        <v>45093</v>
      </c>
      <c r="G645" s="4">
        <v>461</v>
      </c>
      <c r="H645" s="4">
        <v>1</v>
      </c>
      <c r="I645" s="4" t="str">
        <f t="shared" si="10"/>
        <v>Early</v>
      </c>
      <c r="J645" s="2" t="s">
        <v>42</v>
      </c>
      <c r="K645" s="2" t="s">
        <v>19</v>
      </c>
      <c r="L645" s="4">
        <v>3</v>
      </c>
      <c r="M645" s="4">
        <v>258.91000000000003</v>
      </c>
      <c r="N645" s="4">
        <v>776.73</v>
      </c>
      <c r="O645" s="2" t="s">
        <v>31</v>
      </c>
      <c r="P645" t="str">
        <f>IF('Cleaned Data'!N645&gt;JOTTING!F658,"High Sales","Low Sales")</f>
        <v>High Sales</v>
      </c>
    </row>
    <row r="646" spans="2:16" ht="15" x14ac:dyDescent="0.25">
      <c r="B646" s="2" t="s">
        <v>687</v>
      </c>
      <c r="C646" s="2" t="s">
        <v>754</v>
      </c>
      <c r="D646" s="7">
        <v>2023</v>
      </c>
      <c r="E646" s="7" t="s">
        <v>762</v>
      </c>
      <c r="F646" s="3">
        <v>45129</v>
      </c>
      <c r="G646" s="4">
        <v>548</v>
      </c>
      <c r="H646" s="4">
        <v>9</v>
      </c>
      <c r="I646" s="4" t="str">
        <f t="shared" si="10"/>
        <v>Slow</v>
      </c>
      <c r="J646" s="2" t="s">
        <v>30</v>
      </c>
      <c r="K646" s="2" t="s">
        <v>57</v>
      </c>
      <c r="L646" s="4">
        <v>1</v>
      </c>
      <c r="M646" s="4">
        <v>375.23</v>
      </c>
      <c r="N646" s="4">
        <v>375.23</v>
      </c>
      <c r="O646" s="2" t="s">
        <v>20</v>
      </c>
      <c r="P646" t="str">
        <f>IF('Cleaned Data'!N646&gt;JOTTING!F659,"High Sales","Low Sales")</f>
        <v>High Sales</v>
      </c>
    </row>
    <row r="647" spans="2:16" ht="15" x14ac:dyDescent="0.25">
      <c r="B647" s="2" t="s">
        <v>688</v>
      </c>
      <c r="C647" s="2" t="s">
        <v>753</v>
      </c>
      <c r="D647" s="7">
        <v>2023</v>
      </c>
      <c r="E647" s="7" t="s">
        <v>761</v>
      </c>
      <c r="F647" s="3">
        <v>44935</v>
      </c>
      <c r="G647" s="4">
        <v>540</v>
      </c>
      <c r="H647" s="4">
        <v>2</v>
      </c>
      <c r="I647" s="4" t="str">
        <f t="shared" si="10"/>
        <v>Early</v>
      </c>
      <c r="J647" s="2" t="s">
        <v>24</v>
      </c>
      <c r="K647" s="2" t="s">
        <v>39</v>
      </c>
      <c r="L647" s="4">
        <v>4</v>
      </c>
      <c r="M647" s="4">
        <v>345.53</v>
      </c>
      <c r="N647" s="4">
        <v>1382.12</v>
      </c>
      <c r="O647" s="2" t="s">
        <v>20</v>
      </c>
      <c r="P647" t="str">
        <f>IF('Cleaned Data'!N647&gt;JOTTING!F660,"High Sales","Low Sales")</f>
        <v>High Sales</v>
      </c>
    </row>
    <row r="648" spans="2:16" ht="15" x14ac:dyDescent="0.25">
      <c r="B648" s="2" t="s">
        <v>689</v>
      </c>
      <c r="C648" s="2" t="s">
        <v>753</v>
      </c>
      <c r="D648" s="7">
        <v>2023</v>
      </c>
      <c r="E648" s="7" t="s">
        <v>770</v>
      </c>
      <c r="F648" s="3">
        <v>45222</v>
      </c>
      <c r="G648" s="4">
        <v>192</v>
      </c>
      <c r="H648" s="4">
        <v>5</v>
      </c>
      <c r="I648" s="4" t="str">
        <f t="shared" si="10"/>
        <v>Standard</v>
      </c>
      <c r="J648" s="2" t="s">
        <v>24</v>
      </c>
      <c r="K648" s="2" t="s">
        <v>57</v>
      </c>
      <c r="L648" s="4">
        <v>3</v>
      </c>
      <c r="M648" s="4">
        <v>368.94</v>
      </c>
      <c r="N648" s="4">
        <v>1106.82</v>
      </c>
      <c r="O648" s="2" t="s">
        <v>26</v>
      </c>
      <c r="P648" t="str">
        <f>IF('Cleaned Data'!N648&gt;JOTTING!F661,"High Sales","Low Sales")</f>
        <v>High Sales</v>
      </c>
    </row>
    <row r="649" spans="2:16" ht="15" x14ac:dyDescent="0.25">
      <c r="B649" s="2" t="s">
        <v>690</v>
      </c>
      <c r="C649" s="2" t="s">
        <v>754</v>
      </c>
      <c r="D649" s="7">
        <v>2023</v>
      </c>
      <c r="E649" s="7" t="s">
        <v>769</v>
      </c>
      <c r="F649" s="3">
        <v>45039</v>
      </c>
      <c r="G649" s="4">
        <v>720</v>
      </c>
      <c r="H649" s="4">
        <v>5</v>
      </c>
      <c r="I649" s="4" t="str">
        <f t="shared" si="10"/>
        <v>Standard</v>
      </c>
      <c r="J649" s="2" t="s">
        <v>63</v>
      </c>
      <c r="K649" s="2" t="s">
        <v>57</v>
      </c>
      <c r="L649" s="4">
        <v>1</v>
      </c>
      <c r="M649" s="4">
        <v>53.76</v>
      </c>
      <c r="N649" s="4">
        <v>53.76</v>
      </c>
      <c r="O649" s="2" t="s">
        <v>43</v>
      </c>
      <c r="P649" t="str">
        <f>IF('Cleaned Data'!N649&gt;JOTTING!F662,"High Sales","Low Sales")</f>
        <v>High Sales</v>
      </c>
    </row>
    <row r="650" spans="2:16" ht="15" x14ac:dyDescent="0.25">
      <c r="B650" s="2" t="s">
        <v>691</v>
      </c>
      <c r="C650" s="2" t="s">
        <v>753</v>
      </c>
      <c r="D650" s="7">
        <v>2023</v>
      </c>
      <c r="E650" s="7" t="s">
        <v>763</v>
      </c>
      <c r="F650" s="3">
        <v>45267</v>
      </c>
      <c r="G650" s="4">
        <v>852</v>
      </c>
      <c r="H650" s="4">
        <v>8</v>
      </c>
      <c r="I650" s="4" t="str">
        <f t="shared" si="10"/>
        <v>Slow</v>
      </c>
      <c r="J650" s="2" t="s">
        <v>18</v>
      </c>
      <c r="K650" s="2" t="s">
        <v>57</v>
      </c>
      <c r="L650" s="4">
        <v>2</v>
      </c>
      <c r="M650" s="4">
        <v>147.94999999999999</v>
      </c>
      <c r="N650" s="4">
        <v>295.89999999999998</v>
      </c>
      <c r="O650" s="2" t="s">
        <v>20</v>
      </c>
      <c r="P650" t="str">
        <f>IF('Cleaned Data'!N650&gt;JOTTING!F663,"High Sales","Low Sales")</f>
        <v>High Sales</v>
      </c>
    </row>
    <row r="651" spans="2:16" ht="15" x14ac:dyDescent="0.25">
      <c r="B651" s="2" t="s">
        <v>692</v>
      </c>
      <c r="C651" s="2" t="s">
        <v>755</v>
      </c>
      <c r="D651" s="7">
        <v>2023</v>
      </c>
      <c r="E651" s="7" t="s">
        <v>763</v>
      </c>
      <c r="F651" s="3">
        <v>45288</v>
      </c>
      <c r="G651" s="4">
        <v>966</v>
      </c>
      <c r="H651" s="4">
        <v>8</v>
      </c>
      <c r="I651" s="4" t="str">
        <f t="shared" si="10"/>
        <v>Slow</v>
      </c>
      <c r="J651" s="2" t="s">
        <v>18</v>
      </c>
      <c r="K651" s="2" t="s">
        <v>49</v>
      </c>
      <c r="L651" s="4">
        <v>1</v>
      </c>
      <c r="M651" s="4">
        <v>347.76</v>
      </c>
      <c r="N651" s="4">
        <v>347.76</v>
      </c>
      <c r="O651" s="2" t="s">
        <v>31</v>
      </c>
      <c r="P651" t="str">
        <f>IF('Cleaned Data'!N651&gt;JOTTING!F664,"High Sales","Low Sales")</f>
        <v>High Sales</v>
      </c>
    </row>
    <row r="652" spans="2:16" ht="15" x14ac:dyDescent="0.25">
      <c r="B652" s="2" t="s">
        <v>693</v>
      </c>
      <c r="C652" s="2" t="s">
        <v>754</v>
      </c>
      <c r="D652" s="7">
        <v>2023</v>
      </c>
      <c r="E652" s="7" t="s">
        <v>767</v>
      </c>
      <c r="F652" s="3">
        <v>45001</v>
      </c>
      <c r="G652" s="4">
        <v>523</v>
      </c>
      <c r="H652" s="4">
        <v>7</v>
      </c>
      <c r="I652" s="4" t="str">
        <f t="shared" si="10"/>
        <v>Slow</v>
      </c>
      <c r="J652" s="2" t="s">
        <v>18</v>
      </c>
      <c r="K652" s="2" t="s">
        <v>19</v>
      </c>
      <c r="L652" s="4">
        <v>1</v>
      </c>
      <c r="M652" s="4">
        <v>267.8</v>
      </c>
      <c r="N652" s="4">
        <v>267.8</v>
      </c>
      <c r="O652" s="2" t="s">
        <v>20</v>
      </c>
      <c r="P652" t="str">
        <f>IF('Cleaned Data'!N652&gt;JOTTING!F665,"High Sales","Low Sales")</f>
        <v>High Sales</v>
      </c>
    </row>
    <row r="653" spans="2:16" ht="15" x14ac:dyDescent="0.25">
      <c r="B653" s="2" t="s">
        <v>694</v>
      </c>
      <c r="C653" s="2" t="s">
        <v>754</v>
      </c>
      <c r="D653" s="7">
        <v>2023</v>
      </c>
      <c r="E653" s="7" t="s">
        <v>765</v>
      </c>
      <c r="F653" s="3">
        <v>45102</v>
      </c>
      <c r="G653" s="4">
        <v>241</v>
      </c>
      <c r="H653" s="4">
        <v>7</v>
      </c>
      <c r="I653" s="4" t="str">
        <f t="shared" si="10"/>
        <v>Slow</v>
      </c>
      <c r="J653" s="2" t="s">
        <v>63</v>
      </c>
      <c r="K653" s="2" t="s">
        <v>19</v>
      </c>
      <c r="L653" s="4">
        <v>4</v>
      </c>
      <c r="M653" s="4">
        <v>52.39</v>
      </c>
      <c r="N653" s="4">
        <v>209.56</v>
      </c>
      <c r="O653" s="2" t="s">
        <v>43</v>
      </c>
      <c r="P653" t="str">
        <f>IF('Cleaned Data'!N653&gt;JOTTING!F666,"High Sales","Low Sales")</f>
        <v>High Sales</v>
      </c>
    </row>
    <row r="654" spans="2:16" ht="15" x14ac:dyDescent="0.25">
      <c r="B654" s="2" t="s">
        <v>695</v>
      </c>
      <c r="C654" s="2" t="s">
        <v>756</v>
      </c>
      <c r="D654" s="7">
        <v>2023</v>
      </c>
      <c r="E654" s="7" t="s">
        <v>761</v>
      </c>
      <c r="F654" s="3">
        <v>44933</v>
      </c>
      <c r="G654" s="4">
        <v>390</v>
      </c>
      <c r="H654" s="4">
        <v>6</v>
      </c>
      <c r="I654" s="4" t="str">
        <f t="shared" si="10"/>
        <v>Standard</v>
      </c>
      <c r="J654" s="2" t="s">
        <v>30</v>
      </c>
      <c r="K654" s="2" t="s">
        <v>57</v>
      </c>
      <c r="L654" s="4">
        <v>3</v>
      </c>
      <c r="M654" s="4">
        <v>412.02</v>
      </c>
      <c r="N654" s="4">
        <v>1236.06</v>
      </c>
      <c r="O654" s="2" t="s">
        <v>43</v>
      </c>
      <c r="P654" t="str">
        <f>IF('Cleaned Data'!N654&gt;JOTTING!F667,"High Sales","Low Sales")</f>
        <v>High Sales</v>
      </c>
    </row>
    <row r="655" spans="2:16" ht="15" x14ac:dyDescent="0.25">
      <c r="B655" s="2" t="s">
        <v>696</v>
      </c>
      <c r="C655" s="2" t="s">
        <v>755</v>
      </c>
      <c r="D655" s="7">
        <v>2023</v>
      </c>
      <c r="E655" s="7" t="s">
        <v>768</v>
      </c>
      <c r="F655" s="3">
        <v>45151</v>
      </c>
      <c r="G655" s="4">
        <v>531</v>
      </c>
      <c r="H655" s="4">
        <v>6</v>
      </c>
      <c r="I655" s="4" t="str">
        <f t="shared" si="10"/>
        <v>Standard</v>
      </c>
      <c r="J655" s="2" t="s">
        <v>63</v>
      </c>
      <c r="K655" s="2" t="s">
        <v>39</v>
      </c>
      <c r="L655" s="4">
        <v>3</v>
      </c>
      <c r="M655" s="4">
        <v>397.76</v>
      </c>
      <c r="N655" s="4">
        <v>1193.28</v>
      </c>
      <c r="O655" s="2" t="s">
        <v>26</v>
      </c>
      <c r="P655" t="str">
        <f>IF('Cleaned Data'!N655&gt;JOTTING!F668,"High Sales","Low Sales")</f>
        <v>High Sales</v>
      </c>
    </row>
    <row r="656" spans="2:16" ht="15" x14ac:dyDescent="0.25">
      <c r="B656" s="2" t="s">
        <v>697</v>
      </c>
      <c r="C656" s="2" t="s">
        <v>755</v>
      </c>
      <c r="D656" s="7">
        <v>2023</v>
      </c>
      <c r="E656" s="7" t="s">
        <v>768</v>
      </c>
      <c r="F656" s="3">
        <v>45157</v>
      </c>
      <c r="G656" s="4">
        <v>848</v>
      </c>
      <c r="H656" s="4">
        <v>9</v>
      </c>
      <c r="I656" s="4" t="str">
        <f t="shared" si="10"/>
        <v>Slow</v>
      </c>
      <c r="J656" s="2" t="s">
        <v>30</v>
      </c>
      <c r="K656" s="2" t="s">
        <v>25</v>
      </c>
      <c r="L656" s="4">
        <v>4</v>
      </c>
      <c r="M656" s="4">
        <v>296.79000000000002</v>
      </c>
      <c r="N656" s="4">
        <v>1187.1600000000001</v>
      </c>
      <c r="O656" s="2" t="s">
        <v>31</v>
      </c>
      <c r="P656" t="str">
        <f>IF('Cleaned Data'!N656&gt;JOTTING!F669,"High Sales","Low Sales")</f>
        <v>High Sales</v>
      </c>
    </row>
    <row r="657" spans="2:16" ht="15" x14ac:dyDescent="0.25">
      <c r="B657" s="2" t="s">
        <v>698</v>
      </c>
      <c r="C657" s="2" t="s">
        <v>753</v>
      </c>
      <c r="D657" s="7">
        <v>2023</v>
      </c>
      <c r="E657" s="7" t="s">
        <v>769</v>
      </c>
      <c r="F657" s="3">
        <v>45023</v>
      </c>
      <c r="G657" s="4">
        <v>951</v>
      </c>
      <c r="H657" s="4">
        <v>6</v>
      </c>
      <c r="I657" s="4" t="str">
        <f t="shared" si="10"/>
        <v>Standard</v>
      </c>
      <c r="J657" s="2" t="s">
        <v>42</v>
      </c>
      <c r="K657" s="2" t="s">
        <v>19</v>
      </c>
      <c r="L657" s="4">
        <v>1</v>
      </c>
      <c r="M657" s="4">
        <v>79.91</v>
      </c>
      <c r="N657" s="4">
        <v>79.91</v>
      </c>
      <c r="O657" s="2" t="s">
        <v>20</v>
      </c>
      <c r="P657" t="str">
        <f>IF('Cleaned Data'!N657&gt;JOTTING!F670,"High Sales","Low Sales")</f>
        <v>High Sales</v>
      </c>
    </row>
    <row r="658" spans="2:16" ht="15" x14ac:dyDescent="0.25">
      <c r="B658" s="2" t="s">
        <v>699</v>
      </c>
      <c r="C658" s="2" t="s">
        <v>756</v>
      </c>
      <c r="D658" s="7">
        <v>2023</v>
      </c>
      <c r="E658" s="7" t="s">
        <v>762</v>
      </c>
      <c r="F658" s="3">
        <v>45132</v>
      </c>
      <c r="G658" s="4">
        <v>923</v>
      </c>
      <c r="H658" s="4">
        <v>2</v>
      </c>
      <c r="I658" s="4" t="str">
        <f t="shared" si="10"/>
        <v>Early</v>
      </c>
      <c r="J658" s="2" t="s">
        <v>55</v>
      </c>
      <c r="K658" s="2" t="s">
        <v>39</v>
      </c>
      <c r="L658" s="4">
        <v>2</v>
      </c>
      <c r="M658" s="4">
        <v>394.93</v>
      </c>
      <c r="N658" s="4">
        <v>789.86</v>
      </c>
      <c r="O658" s="2" t="s">
        <v>31</v>
      </c>
      <c r="P658" t="str">
        <f>IF('Cleaned Data'!N658&gt;JOTTING!F671,"High Sales","Low Sales")</f>
        <v>High Sales</v>
      </c>
    </row>
    <row r="659" spans="2:16" ht="15" x14ac:dyDescent="0.25">
      <c r="B659" s="2" t="s">
        <v>700</v>
      </c>
      <c r="C659" s="2" t="s">
        <v>754</v>
      </c>
      <c r="D659" s="7">
        <v>2023</v>
      </c>
      <c r="E659" s="7" t="s">
        <v>767</v>
      </c>
      <c r="F659" s="3">
        <v>45011</v>
      </c>
      <c r="G659" s="4">
        <v>788</v>
      </c>
      <c r="H659" s="4">
        <v>2</v>
      </c>
      <c r="I659" s="4" t="str">
        <f t="shared" si="10"/>
        <v>Early</v>
      </c>
      <c r="J659" s="2" t="s">
        <v>63</v>
      </c>
      <c r="K659" s="2" t="s">
        <v>49</v>
      </c>
      <c r="L659" s="4">
        <v>1</v>
      </c>
      <c r="M659" s="4">
        <v>312.67</v>
      </c>
      <c r="N659" s="4">
        <v>312.67</v>
      </c>
      <c r="O659" s="2" t="s">
        <v>31</v>
      </c>
      <c r="P659" t="str">
        <f>IF('Cleaned Data'!N659&gt;JOTTING!F672,"High Sales","Low Sales")</f>
        <v>High Sales</v>
      </c>
    </row>
    <row r="660" spans="2:16" ht="15" x14ac:dyDescent="0.25">
      <c r="B660" s="2" t="s">
        <v>701</v>
      </c>
      <c r="C660" s="2" t="s">
        <v>755</v>
      </c>
      <c r="D660" s="7">
        <v>2023</v>
      </c>
      <c r="E660" s="7" t="s">
        <v>767</v>
      </c>
      <c r="F660" s="3">
        <v>44990</v>
      </c>
      <c r="G660" s="4">
        <v>752</v>
      </c>
      <c r="H660" s="4">
        <v>5</v>
      </c>
      <c r="I660" s="4" t="str">
        <f t="shared" si="10"/>
        <v>Standard</v>
      </c>
      <c r="J660" s="2" t="s">
        <v>63</v>
      </c>
      <c r="K660" s="2" t="s">
        <v>39</v>
      </c>
      <c r="L660" s="4">
        <v>1</v>
      </c>
      <c r="M660" s="4">
        <v>401.88</v>
      </c>
      <c r="N660" s="4">
        <v>401.88</v>
      </c>
      <c r="O660" s="2" t="s">
        <v>43</v>
      </c>
      <c r="P660" t="str">
        <f>IF('Cleaned Data'!N660&gt;JOTTING!F673,"High Sales","Low Sales")</f>
        <v>High Sales</v>
      </c>
    </row>
    <row r="661" spans="2:16" ht="15" x14ac:dyDescent="0.25">
      <c r="B661" s="2" t="s">
        <v>702</v>
      </c>
      <c r="C661" s="2" t="s">
        <v>756</v>
      </c>
      <c r="D661" s="7">
        <v>2023</v>
      </c>
      <c r="E661" s="7" t="s">
        <v>768</v>
      </c>
      <c r="F661" s="3">
        <v>45168</v>
      </c>
      <c r="G661" s="4">
        <v>800</v>
      </c>
      <c r="H661" s="4">
        <v>4</v>
      </c>
      <c r="I661" s="4" t="str">
        <f t="shared" si="10"/>
        <v>Standard</v>
      </c>
      <c r="J661" s="2" t="s">
        <v>51</v>
      </c>
      <c r="K661" s="2" t="s">
        <v>19</v>
      </c>
      <c r="L661" s="4">
        <v>2</v>
      </c>
      <c r="M661" s="4">
        <v>388.29</v>
      </c>
      <c r="N661" s="4">
        <v>776.58</v>
      </c>
      <c r="O661" s="2" t="s">
        <v>20</v>
      </c>
      <c r="P661" t="str">
        <f>IF('Cleaned Data'!N661&gt;JOTTING!F674,"High Sales","Low Sales")</f>
        <v>High Sales</v>
      </c>
    </row>
    <row r="662" spans="2:16" ht="15" x14ac:dyDescent="0.25">
      <c r="B662" s="2" t="s">
        <v>703</v>
      </c>
      <c r="C662" s="2" t="s">
        <v>757</v>
      </c>
      <c r="D662" s="7">
        <v>2023</v>
      </c>
      <c r="E662" s="7" t="s">
        <v>760</v>
      </c>
      <c r="F662" s="3">
        <v>45047</v>
      </c>
      <c r="G662" s="4">
        <v>148</v>
      </c>
      <c r="H662" s="4">
        <v>2</v>
      </c>
      <c r="I662" s="4" t="str">
        <f t="shared" si="10"/>
        <v>Early</v>
      </c>
      <c r="J662" s="2" t="s">
        <v>24</v>
      </c>
      <c r="K662" s="2" t="s">
        <v>25</v>
      </c>
      <c r="L662" s="4">
        <v>4</v>
      </c>
      <c r="M662" s="4">
        <v>411.35</v>
      </c>
      <c r="N662" s="4">
        <v>1645.4</v>
      </c>
      <c r="O662" s="2" t="s">
        <v>43</v>
      </c>
      <c r="P662" t="str">
        <f>IF('Cleaned Data'!N662&gt;JOTTING!F675,"High Sales","Low Sales")</f>
        <v>High Sales</v>
      </c>
    </row>
    <row r="663" spans="2:16" ht="15" x14ac:dyDescent="0.25">
      <c r="B663" s="2" t="s">
        <v>704</v>
      </c>
      <c r="C663" s="2" t="s">
        <v>756</v>
      </c>
      <c r="D663" s="7">
        <v>2023</v>
      </c>
      <c r="E663" s="7" t="s">
        <v>768</v>
      </c>
      <c r="F663" s="3">
        <v>45145</v>
      </c>
      <c r="G663" s="4">
        <v>401</v>
      </c>
      <c r="H663" s="4">
        <v>3</v>
      </c>
      <c r="I663" s="4" t="str">
        <f t="shared" si="10"/>
        <v>Standard</v>
      </c>
      <c r="J663" s="2" t="s">
        <v>24</v>
      </c>
      <c r="K663" s="2" t="s">
        <v>49</v>
      </c>
      <c r="L663" s="4">
        <v>3</v>
      </c>
      <c r="M663" s="4">
        <v>283.10000000000002</v>
      </c>
      <c r="N663" s="4">
        <v>849.3</v>
      </c>
      <c r="O663" s="2" t="s">
        <v>26</v>
      </c>
      <c r="P663" t="str">
        <f>IF('Cleaned Data'!N663&gt;JOTTING!F676,"High Sales","Low Sales")</f>
        <v>High Sales</v>
      </c>
    </row>
    <row r="664" spans="2:16" ht="15" x14ac:dyDescent="0.25">
      <c r="B664" s="2" t="s">
        <v>705</v>
      </c>
      <c r="C664" s="2" t="s">
        <v>754</v>
      </c>
      <c r="D664" s="7">
        <v>2023</v>
      </c>
      <c r="E664" s="7" t="s">
        <v>765</v>
      </c>
      <c r="F664" s="3">
        <v>45092</v>
      </c>
      <c r="G664" s="4">
        <v>980</v>
      </c>
      <c r="H664" s="4">
        <v>7</v>
      </c>
      <c r="I664" s="4" t="str">
        <f t="shared" si="10"/>
        <v>Slow</v>
      </c>
      <c r="J664" s="2" t="s">
        <v>18</v>
      </c>
      <c r="K664" s="2" t="s">
        <v>57</v>
      </c>
      <c r="L664" s="4">
        <v>4</v>
      </c>
      <c r="M664" s="4">
        <v>113.15</v>
      </c>
      <c r="N664" s="4">
        <v>452.6</v>
      </c>
      <c r="O664" s="2" t="s">
        <v>43</v>
      </c>
      <c r="P664" t="str">
        <f>IF('Cleaned Data'!N664&gt;JOTTING!F677,"High Sales","Low Sales")</f>
        <v>High Sales</v>
      </c>
    </row>
    <row r="665" spans="2:16" ht="15" x14ac:dyDescent="0.25">
      <c r="B665" s="2" t="s">
        <v>706</v>
      </c>
      <c r="C665" s="2" t="s">
        <v>756</v>
      </c>
      <c r="D665" s="7">
        <v>2024</v>
      </c>
      <c r="E665" s="7" t="s">
        <v>761</v>
      </c>
      <c r="F665" s="3">
        <v>45294</v>
      </c>
      <c r="G665" s="4">
        <v>289</v>
      </c>
      <c r="H665" s="4">
        <v>8</v>
      </c>
      <c r="I665" s="4" t="str">
        <f t="shared" si="10"/>
        <v>Slow</v>
      </c>
      <c r="J665" s="2" t="s">
        <v>51</v>
      </c>
      <c r="K665" s="2" t="s">
        <v>57</v>
      </c>
      <c r="L665" s="4">
        <v>4</v>
      </c>
      <c r="M665" s="4">
        <v>352.02</v>
      </c>
      <c r="N665" s="4">
        <v>1408.08</v>
      </c>
      <c r="O665" s="2" t="s">
        <v>20</v>
      </c>
      <c r="P665" t="str">
        <f>IF('Cleaned Data'!N665&gt;JOTTING!F678,"High Sales","Low Sales")</f>
        <v>High Sales</v>
      </c>
    </row>
    <row r="666" spans="2:16" ht="15" x14ac:dyDescent="0.25">
      <c r="B666" s="2" t="s">
        <v>707</v>
      </c>
      <c r="C666" s="2" t="s">
        <v>754</v>
      </c>
      <c r="D666" s="7">
        <v>2023</v>
      </c>
      <c r="E666" s="7" t="s">
        <v>767</v>
      </c>
      <c r="F666" s="3">
        <v>44987</v>
      </c>
      <c r="G666" s="4">
        <v>235</v>
      </c>
      <c r="H666" s="4">
        <v>6</v>
      </c>
      <c r="I666" s="4" t="str">
        <f t="shared" si="10"/>
        <v>Standard</v>
      </c>
      <c r="J666" s="2" t="s">
        <v>18</v>
      </c>
      <c r="K666" s="2" t="s">
        <v>39</v>
      </c>
      <c r="L666" s="4">
        <v>1</v>
      </c>
      <c r="M666" s="4">
        <v>329.21</v>
      </c>
      <c r="N666" s="4">
        <v>329.21</v>
      </c>
      <c r="O666" s="2" t="s">
        <v>31</v>
      </c>
      <c r="P666" t="str">
        <f>IF('Cleaned Data'!N666&gt;JOTTING!F679,"High Sales","Low Sales")</f>
        <v>High Sales</v>
      </c>
    </row>
    <row r="667" spans="2:16" ht="15" x14ac:dyDescent="0.25">
      <c r="B667" s="2" t="s">
        <v>708</v>
      </c>
      <c r="C667" s="2" t="s">
        <v>753</v>
      </c>
      <c r="D667" s="7">
        <v>2023</v>
      </c>
      <c r="E667" s="7" t="s">
        <v>765</v>
      </c>
      <c r="F667" s="3">
        <v>45101</v>
      </c>
      <c r="G667" s="4">
        <v>654</v>
      </c>
      <c r="H667" s="4">
        <v>5</v>
      </c>
      <c r="I667" s="4" t="str">
        <f t="shared" si="10"/>
        <v>Standard</v>
      </c>
      <c r="J667" s="2" t="s">
        <v>30</v>
      </c>
      <c r="K667" s="2" t="s">
        <v>57</v>
      </c>
      <c r="L667" s="4">
        <v>3</v>
      </c>
      <c r="M667" s="4">
        <v>384.01</v>
      </c>
      <c r="N667" s="4">
        <v>1152.03</v>
      </c>
      <c r="O667" s="2" t="s">
        <v>31</v>
      </c>
      <c r="P667" t="str">
        <f>IF('Cleaned Data'!N667&gt;JOTTING!F680,"High Sales","Low Sales")</f>
        <v>High Sales</v>
      </c>
    </row>
    <row r="668" spans="2:16" ht="15" x14ac:dyDescent="0.25">
      <c r="B668" s="2" t="s">
        <v>709</v>
      </c>
      <c r="C668" s="2" t="s">
        <v>754</v>
      </c>
      <c r="D668" s="7">
        <v>2023</v>
      </c>
      <c r="E668" s="7" t="s">
        <v>766</v>
      </c>
      <c r="F668" s="3">
        <v>45176</v>
      </c>
      <c r="G668" s="4">
        <v>503</v>
      </c>
      <c r="H668" s="4">
        <v>1</v>
      </c>
      <c r="I668" s="4" t="str">
        <f t="shared" si="10"/>
        <v>Early</v>
      </c>
      <c r="J668" s="2" t="s">
        <v>18</v>
      </c>
      <c r="K668" s="2" t="s">
        <v>39</v>
      </c>
      <c r="L668" s="4">
        <v>3</v>
      </c>
      <c r="M668" s="4">
        <v>126.45</v>
      </c>
      <c r="N668" s="4">
        <v>379.35</v>
      </c>
      <c r="O668" s="2" t="s">
        <v>31</v>
      </c>
      <c r="P668" t="str">
        <f>IF('Cleaned Data'!N668&gt;JOTTING!F681,"High Sales","Low Sales")</f>
        <v>High Sales</v>
      </c>
    </row>
    <row r="669" spans="2:16" ht="15" x14ac:dyDescent="0.25">
      <c r="B669" s="2" t="s">
        <v>710</v>
      </c>
      <c r="C669" s="2" t="s">
        <v>753</v>
      </c>
      <c r="D669" s="7">
        <v>2023</v>
      </c>
      <c r="E669" s="7" t="s">
        <v>765</v>
      </c>
      <c r="F669" s="3">
        <v>45079</v>
      </c>
      <c r="G669" s="4">
        <v>991</v>
      </c>
      <c r="H669" s="4">
        <v>8</v>
      </c>
      <c r="I669" s="4" t="str">
        <f t="shared" si="10"/>
        <v>Slow</v>
      </c>
      <c r="J669" s="2" t="s">
        <v>42</v>
      </c>
      <c r="K669" s="2" t="s">
        <v>19</v>
      </c>
      <c r="L669" s="4">
        <v>4</v>
      </c>
      <c r="M669" s="4">
        <v>137.74</v>
      </c>
      <c r="N669" s="4">
        <v>550.96</v>
      </c>
      <c r="O669" s="2" t="s">
        <v>20</v>
      </c>
      <c r="P669" t="str">
        <f>IF('Cleaned Data'!N669&gt;JOTTING!F682,"High Sales","Low Sales")</f>
        <v>High Sales</v>
      </c>
    </row>
    <row r="670" spans="2:16" ht="15" x14ac:dyDescent="0.25">
      <c r="B670" s="2" t="s">
        <v>711</v>
      </c>
      <c r="C670" s="2" t="s">
        <v>754</v>
      </c>
      <c r="D670" s="7">
        <v>2023</v>
      </c>
      <c r="E670" s="7" t="s">
        <v>763</v>
      </c>
      <c r="F670" s="3">
        <v>45285</v>
      </c>
      <c r="G670" s="4">
        <v>964</v>
      </c>
      <c r="H670" s="4">
        <v>3</v>
      </c>
      <c r="I670" s="4" t="str">
        <f t="shared" si="10"/>
        <v>Standard</v>
      </c>
      <c r="J670" s="2" t="s">
        <v>24</v>
      </c>
      <c r="K670" s="2" t="s">
        <v>25</v>
      </c>
      <c r="L670" s="4">
        <v>2</v>
      </c>
      <c r="M670" s="4">
        <v>450.68</v>
      </c>
      <c r="N670" s="4">
        <v>901.36</v>
      </c>
      <c r="O670" s="2" t="s">
        <v>31</v>
      </c>
      <c r="P670" t="str">
        <f>IF('Cleaned Data'!N670&gt;JOTTING!F683,"High Sales","Low Sales")</f>
        <v>High Sales</v>
      </c>
    </row>
    <row r="671" spans="2:16" ht="15" x14ac:dyDescent="0.25">
      <c r="B671" s="2" t="s">
        <v>712</v>
      </c>
      <c r="C671" s="2" t="s">
        <v>757</v>
      </c>
      <c r="D671" s="7">
        <v>2023</v>
      </c>
      <c r="E671" s="7" t="s">
        <v>766</v>
      </c>
      <c r="F671" s="3">
        <v>45196</v>
      </c>
      <c r="G671" s="4">
        <v>701</v>
      </c>
      <c r="H671" s="4">
        <v>6</v>
      </c>
      <c r="I671" s="4" t="str">
        <f t="shared" si="10"/>
        <v>Standard</v>
      </c>
      <c r="J671" s="2" t="s">
        <v>51</v>
      </c>
      <c r="K671" s="2" t="s">
        <v>57</v>
      </c>
      <c r="L671" s="4">
        <v>4</v>
      </c>
      <c r="M671" s="4">
        <v>387.49</v>
      </c>
      <c r="N671" s="4">
        <v>1549.96</v>
      </c>
      <c r="O671" s="2" t="s">
        <v>31</v>
      </c>
      <c r="P671" t="str">
        <f>IF('Cleaned Data'!N671&gt;JOTTING!F684,"High Sales","Low Sales")</f>
        <v>High Sales</v>
      </c>
    </row>
    <row r="672" spans="2:16" ht="15" x14ac:dyDescent="0.25">
      <c r="B672" s="2" t="s">
        <v>713</v>
      </c>
      <c r="C672" s="2" t="s">
        <v>757</v>
      </c>
      <c r="D672" s="7">
        <v>2023</v>
      </c>
      <c r="E672" s="7" t="s">
        <v>768</v>
      </c>
      <c r="F672" s="3">
        <v>45169</v>
      </c>
      <c r="G672" s="4">
        <v>906</v>
      </c>
      <c r="H672" s="4">
        <v>3</v>
      </c>
      <c r="I672" s="4" t="str">
        <f t="shared" si="10"/>
        <v>Standard</v>
      </c>
      <c r="J672" s="2" t="s">
        <v>18</v>
      </c>
      <c r="K672" s="2" t="s">
        <v>25</v>
      </c>
      <c r="L672" s="4">
        <v>2</v>
      </c>
      <c r="M672" s="4">
        <v>458.7</v>
      </c>
      <c r="N672" s="4">
        <v>917.4</v>
      </c>
      <c r="O672" s="2" t="s">
        <v>31</v>
      </c>
      <c r="P672" t="str">
        <f>IF('Cleaned Data'!N672&gt;JOTTING!F685,"High Sales","Low Sales")</f>
        <v>High Sales</v>
      </c>
    </row>
    <row r="673" spans="2:16" ht="15" x14ac:dyDescent="0.25">
      <c r="B673" s="2" t="s">
        <v>714</v>
      </c>
      <c r="C673" s="2" t="s">
        <v>757</v>
      </c>
      <c r="D673" s="7">
        <v>2023</v>
      </c>
      <c r="E673" s="7" t="s">
        <v>770</v>
      </c>
      <c r="F673" s="3">
        <v>45210</v>
      </c>
      <c r="G673" s="4">
        <v>440</v>
      </c>
      <c r="H673" s="4">
        <v>7</v>
      </c>
      <c r="I673" s="4" t="str">
        <f t="shared" si="10"/>
        <v>Slow</v>
      </c>
      <c r="J673" s="2" t="s">
        <v>51</v>
      </c>
      <c r="K673" s="2" t="s">
        <v>19</v>
      </c>
      <c r="L673" s="4">
        <v>3</v>
      </c>
      <c r="M673" s="4">
        <v>391.42</v>
      </c>
      <c r="N673" s="4">
        <v>1174.26</v>
      </c>
      <c r="O673" s="2" t="s">
        <v>26</v>
      </c>
      <c r="P673" t="str">
        <f>IF('Cleaned Data'!N673&gt;JOTTING!F686,"High Sales","Low Sales")</f>
        <v>High Sales</v>
      </c>
    </row>
    <row r="674" spans="2:16" ht="15" x14ac:dyDescent="0.25">
      <c r="B674" s="2" t="s">
        <v>715</v>
      </c>
      <c r="C674" s="2" t="s">
        <v>756</v>
      </c>
      <c r="D674" s="7">
        <v>2023</v>
      </c>
      <c r="E674" s="7" t="s">
        <v>763</v>
      </c>
      <c r="F674" s="3">
        <v>45281</v>
      </c>
      <c r="G674" s="4">
        <v>856</v>
      </c>
      <c r="H674" s="4">
        <v>7</v>
      </c>
      <c r="I674" s="4" t="str">
        <f t="shared" si="10"/>
        <v>Slow</v>
      </c>
      <c r="J674" s="2" t="s">
        <v>18</v>
      </c>
      <c r="K674" s="2" t="s">
        <v>49</v>
      </c>
      <c r="L674" s="4">
        <v>4</v>
      </c>
      <c r="M674" s="4">
        <v>318.72000000000003</v>
      </c>
      <c r="N674" s="4">
        <v>1274.8800000000001</v>
      </c>
      <c r="O674" s="2" t="s">
        <v>43</v>
      </c>
      <c r="P674" t="str">
        <f>IF('Cleaned Data'!N674&gt;JOTTING!F687,"High Sales","Low Sales")</f>
        <v>High Sales</v>
      </c>
    </row>
    <row r="675" spans="2:16" ht="15" x14ac:dyDescent="0.25">
      <c r="B675" s="2" t="s">
        <v>716</v>
      </c>
      <c r="C675" s="2" t="s">
        <v>753</v>
      </c>
      <c r="D675" s="7">
        <v>2023</v>
      </c>
      <c r="E675" s="7" t="s">
        <v>763</v>
      </c>
      <c r="F675" s="3">
        <v>45267</v>
      </c>
      <c r="G675" s="4">
        <v>803</v>
      </c>
      <c r="H675" s="4">
        <v>9</v>
      </c>
      <c r="I675" s="4" t="str">
        <f t="shared" si="10"/>
        <v>Slow</v>
      </c>
      <c r="J675" s="2" t="s">
        <v>18</v>
      </c>
      <c r="K675" s="2" t="s">
        <v>25</v>
      </c>
      <c r="L675" s="4">
        <v>1</v>
      </c>
      <c r="M675" s="4">
        <v>344.36</v>
      </c>
      <c r="N675" s="4">
        <v>344.36</v>
      </c>
      <c r="O675" s="2" t="s">
        <v>26</v>
      </c>
      <c r="P675" t="str">
        <f>IF('Cleaned Data'!N675&gt;JOTTING!F688,"High Sales","Low Sales")</f>
        <v>High Sales</v>
      </c>
    </row>
    <row r="676" spans="2:16" ht="15" x14ac:dyDescent="0.25">
      <c r="B676" s="2" t="s">
        <v>717</v>
      </c>
      <c r="C676" s="2" t="s">
        <v>754</v>
      </c>
      <c r="D676" s="7">
        <v>2023</v>
      </c>
      <c r="E676" s="7" t="s">
        <v>766</v>
      </c>
      <c r="F676" s="3">
        <v>45196</v>
      </c>
      <c r="G676" s="4">
        <v>417</v>
      </c>
      <c r="H676" s="4">
        <v>5</v>
      </c>
      <c r="I676" s="4" t="str">
        <f t="shared" si="10"/>
        <v>Standard</v>
      </c>
      <c r="J676" s="2" t="s">
        <v>51</v>
      </c>
      <c r="K676" s="2" t="s">
        <v>19</v>
      </c>
      <c r="L676" s="4">
        <v>4</v>
      </c>
      <c r="M676" s="4">
        <v>450.11</v>
      </c>
      <c r="N676" s="4">
        <v>1800.44</v>
      </c>
      <c r="O676" s="2" t="s">
        <v>20</v>
      </c>
      <c r="P676" t="str">
        <f>IF('Cleaned Data'!N676&gt;JOTTING!F689,"High Sales","Low Sales")</f>
        <v>High Sales</v>
      </c>
    </row>
    <row r="677" spans="2:16" ht="15" x14ac:dyDescent="0.25">
      <c r="B677" s="2" t="s">
        <v>718</v>
      </c>
      <c r="C677" s="2" t="s">
        <v>756</v>
      </c>
      <c r="D677" s="7">
        <v>2023</v>
      </c>
      <c r="E677" s="7" t="s">
        <v>770</v>
      </c>
      <c r="F677" s="3">
        <v>45208</v>
      </c>
      <c r="G677" s="4">
        <v>717</v>
      </c>
      <c r="H677" s="4">
        <v>8</v>
      </c>
      <c r="I677" s="4" t="str">
        <f t="shared" si="10"/>
        <v>Slow</v>
      </c>
      <c r="J677" s="2" t="s">
        <v>24</v>
      </c>
      <c r="K677" s="2" t="s">
        <v>57</v>
      </c>
      <c r="L677" s="4">
        <v>3</v>
      </c>
      <c r="M677" s="4">
        <v>310.45999999999998</v>
      </c>
      <c r="N677" s="4">
        <v>931.38</v>
      </c>
      <c r="O677" s="2" t="s">
        <v>20</v>
      </c>
      <c r="P677" t="str">
        <f>IF('Cleaned Data'!N677&gt;JOTTING!F690,"High Sales","Low Sales")</f>
        <v>High Sales</v>
      </c>
    </row>
    <row r="678" spans="2:16" ht="15" x14ac:dyDescent="0.25">
      <c r="B678" s="2" t="s">
        <v>719</v>
      </c>
      <c r="C678" s="2" t="s">
        <v>757</v>
      </c>
      <c r="D678" s="7">
        <v>2023</v>
      </c>
      <c r="E678" s="7" t="s">
        <v>767</v>
      </c>
      <c r="F678" s="3">
        <v>44988</v>
      </c>
      <c r="G678" s="4">
        <v>462</v>
      </c>
      <c r="H678" s="4">
        <v>8</v>
      </c>
      <c r="I678" s="4" t="str">
        <f t="shared" si="10"/>
        <v>Slow</v>
      </c>
      <c r="J678" s="2" t="s">
        <v>42</v>
      </c>
      <c r="K678" s="2" t="s">
        <v>25</v>
      </c>
      <c r="L678" s="4">
        <v>1</v>
      </c>
      <c r="M678" s="4">
        <v>334.58</v>
      </c>
      <c r="N678" s="4">
        <v>334.58</v>
      </c>
      <c r="O678" s="2" t="s">
        <v>43</v>
      </c>
      <c r="P678" t="str">
        <f>IF('Cleaned Data'!N678&gt;JOTTING!F691,"High Sales","Low Sales")</f>
        <v>High Sales</v>
      </c>
    </row>
    <row r="679" spans="2:16" ht="15" x14ac:dyDescent="0.25">
      <c r="B679" s="2" t="s">
        <v>720</v>
      </c>
      <c r="C679" s="2" t="s">
        <v>754</v>
      </c>
      <c r="D679" s="7">
        <v>2023</v>
      </c>
      <c r="E679" s="7" t="s">
        <v>764</v>
      </c>
      <c r="F679" s="3">
        <v>44965</v>
      </c>
      <c r="G679" s="4">
        <v>921</v>
      </c>
      <c r="H679" s="4">
        <v>1</v>
      </c>
      <c r="I679" s="4" t="str">
        <f t="shared" si="10"/>
        <v>Early</v>
      </c>
      <c r="J679" s="2" t="s">
        <v>51</v>
      </c>
      <c r="K679" s="2" t="s">
        <v>25</v>
      </c>
      <c r="L679" s="4">
        <v>1</v>
      </c>
      <c r="M679" s="4">
        <v>120.41</v>
      </c>
      <c r="N679" s="4">
        <v>120.41</v>
      </c>
      <c r="O679" s="2" t="s">
        <v>31</v>
      </c>
      <c r="P679" t="str">
        <f>IF('Cleaned Data'!N679&gt;JOTTING!F692,"High Sales","Low Sales")</f>
        <v>High Sales</v>
      </c>
    </row>
    <row r="680" spans="2:16" ht="15" x14ac:dyDescent="0.25">
      <c r="B680" s="2" t="s">
        <v>721</v>
      </c>
      <c r="C680" s="2" t="s">
        <v>757</v>
      </c>
      <c r="D680" s="7">
        <v>2023</v>
      </c>
      <c r="E680" s="7" t="s">
        <v>768</v>
      </c>
      <c r="F680" s="3">
        <v>45140</v>
      </c>
      <c r="G680" s="4">
        <v>481</v>
      </c>
      <c r="H680" s="4">
        <v>5</v>
      </c>
      <c r="I680" s="4" t="str">
        <f t="shared" si="10"/>
        <v>Standard</v>
      </c>
      <c r="J680" s="2" t="s">
        <v>51</v>
      </c>
      <c r="K680" s="2" t="s">
        <v>25</v>
      </c>
      <c r="L680" s="4">
        <v>2</v>
      </c>
      <c r="M680" s="4">
        <v>263.26</v>
      </c>
      <c r="N680" s="4">
        <v>526.52</v>
      </c>
      <c r="O680" s="2" t="s">
        <v>26</v>
      </c>
      <c r="P680" t="str">
        <f>IF('Cleaned Data'!N680&gt;JOTTING!F693,"High Sales","Low Sales")</f>
        <v>High Sales</v>
      </c>
    </row>
    <row r="681" spans="2:16" ht="15" x14ac:dyDescent="0.25">
      <c r="B681" s="2" t="s">
        <v>722</v>
      </c>
      <c r="C681" s="2" t="s">
        <v>753</v>
      </c>
      <c r="D681" s="7">
        <v>2023</v>
      </c>
      <c r="E681" s="7" t="s">
        <v>761</v>
      </c>
      <c r="F681" s="3">
        <v>44936</v>
      </c>
      <c r="G681" s="4">
        <v>332</v>
      </c>
      <c r="H681" s="4">
        <v>3</v>
      </c>
      <c r="I681" s="4" t="str">
        <f t="shared" si="10"/>
        <v>Standard</v>
      </c>
      <c r="J681" s="2" t="s">
        <v>55</v>
      </c>
      <c r="K681" s="2" t="s">
        <v>25</v>
      </c>
      <c r="L681" s="4">
        <v>1</v>
      </c>
      <c r="M681" s="4">
        <v>372.38</v>
      </c>
      <c r="N681" s="4">
        <v>372.38</v>
      </c>
      <c r="O681" s="2" t="s">
        <v>26</v>
      </c>
      <c r="P681" t="str">
        <f>IF('Cleaned Data'!N681&gt;JOTTING!F694,"High Sales","Low Sales")</f>
        <v>High Sales</v>
      </c>
    </row>
    <row r="682" spans="2:16" ht="15" x14ac:dyDescent="0.25">
      <c r="B682" s="2" t="s">
        <v>723</v>
      </c>
      <c r="C682" s="2" t="s">
        <v>757</v>
      </c>
      <c r="D682" s="7">
        <v>2023</v>
      </c>
      <c r="E682" s="7" t="s">
        <v>765</v>
      </c>
      <c r="F682" s="3">
        <v>45104</v>
      </c>
      <c r="G682" s="4">
        <v>876</v>
      </c>
      <c r="H682" s="4">
        <v>1</v>
      </c>
      <c r="I682" s="4" t="str">
        <f t="shared" si="10"/>
        <v>Early</v>
      </c>
      <c r="J682" s="2" t="s">
        <v>55</v>
      </c>
      <c r="K682" s="2" t="s">
        <v>19</v>
      </c>
      <c r="L682" s="4">
        <v>1</v>
      </c>
      <c r="M682" s="4">
        <v>171.92</v>
      </c>
      <c r="N682" s="4">
        <v>171.92</v>
      </c>
      <c r="O682" s="2" t="s">
        <v>31</v>
      </c>
      <c r="P682" t="str">
        <f>IF('Cleaned Data'!N682&gt;JOTTING!F695,"High Sales","Low Sales")</f>
        <v>High Sales</v>
      </c>
    </row>
    <row r="683" spans="2:16" ht="15" x14ac:dyDescent="0.25">
      <c r="B683" s="2" t="s">
        <v>724</v>
      </c>
      <c r="C683" s="2" t="s">
        <v>755</v>
      </c>
      <c r="D683" s="7">
        <v>2023</v>
      </c>
      <c r="E683" s="7" t="s">
        <v>767</v>
      </c>
      <c r="F683" s="3">
        <v>45007</v>
      </c>
      <c r="G683" s="4">
        <v>443</v>
      </c>
      <c r="H683" s="4">
        <v>4</v>
      </c>
      <c r="I683" s="4" t="str">
        <f t="shared" si="10"/>
        <v>Standard</v>
      </c>
      <c r="J683" s="2" t="s">
        <v>51</v>
      </c>
      <c r="K683" s="2" t="s">
        <v>25</v>
      </c>
      <c r="L683" s="4">
        <v>4</v>
      </c>
      <c r="M683" s="4">
        <v>141.01</v>
      </c>
      <c r="N683" s="4">
        <v>564.04</v>
      </c>
      <c r="O683" s="2" t="s">
        <v>26</v>
      </c>
      <c r="P683" t="str">
        <f>IF('Cleaned Data'!N683&gt;JOTTING!F696,"High Sales","Low Sales")</f>
        <v>High Sales</v>
      </c>
    </row>
    <row r="684" spans="2:16" ht="15" x14ac:dyDescent="0.25">
      <c r="B684" s="2" t="s">
        <v>725</v>
      </c>
      <c r="C684" s="2" t="s">
        <v>754</v>
      </c>
      <c r="D684" s="7">
        <v>2023</v>
      </c>
      <c r="E684" s="7" t="s">
        <v>760</v>
      </c>
      <c r="F684" s="3">
        <v>45061</v>
      </c>
      <c r="G684" s="4">
        <v>648</v>
      </c>
      <c r="H684" s="4">
        <v>8</v>
      </c>
      <c r="I684" s="4" t="str">
        <f t="shared" si="10"/>
        <v>Slow</v>
      </c>
      <c r="J684" s="2" t="s">
        <v>24</v>
      </c>
      <c r="K684" s="2" t="s">
        <v>25</v>
      </c>
      <c r="L684" s="4">
        <v>3</v>
      </c>
      <c r="M684" s="4">
        <v>191.22</v>
      </c>
      <c r="N684" s="4">
        <v>573.66</v>
      </c>
      <c r="O684" s="2" t="s">
        <v>43</v>
      </c>
      <c r="P684" t="str">
        <f>IF('Cleaned Data'!N684&gt;JOTTING!F697,"High Sales","Low Sales")</f>
        <v>High Sales</v>
      </c>
    </row>
    <row r="685" spans="2:16" ht="15" x14ac:dyDescent="0.25">
      <c r="B685" s="2" t="s">
        <v>726</v>
      </c>
      <c r="C685" s="2" t="s">
        <v>754</v>
      </c>
      <c r="D685" s="7">
        <v>2023</v>
      </c>
      <c r="E685" s="7" t="s">
        <v>770</v>
      </c>
      <c r="F685" s="3">
        <v>45213</v>
      </c>
      <c r="G685" s="4">
        <v>916</v>
      </c>
      <c r="H685" s="4">
        <v>3</v>
      </c>
      <c r="I685" s="4" t="str">
        <f t="shared" si="10"/>
        <v>Standard</v>
      </c>
      <c r="J685" s="2" t="s">
        <v>30</v>
      </c>
      <c r="K685" s="2" t="s">
        <v>57</v>
      </c>
      <c r="L685" s="4">
        <v>2</v>
      </c>
      <c r="M685" s="4">
        <v>158.68</v>
      </c>
      <c r="N685" s="4">
        <v>317.36</v>
      </c>
      <c r="O685" s="2" t="s">
        <v>26</v>
      </c>
      <c r="P685" t="str">
        <f>IF('Cleaned Data'!N685&gt;JOTTING!F698,"High Sales","Low Sales")</f>
        <v>High Sales</v>
      </c>
    </row>
    <row r="686" spans="2:16" ht="15" x14ac:dyDescent="0.25">
      <c r="B686" s="2" t="s">
        <v>727</v>
      </c>
      <c r="C686" s="2" t="s">
        <v>755</v>
      </c>
      <c r="D686" s="7">
        <v>2023</v>
      </c>
      <c r="E686" s="7" t="s">
        <v>763</v>
      </c>
      <c r="F686" s="3">
        <v>45272</v>
      </c>
      <c r="G686" s="4">
        <v>652</v>
      </c>
      <c r="H686" s="4">
        <v>2</v>
      </c>
      <c r="I686" s="4" t="str">
        <f t="shared" si="10"/>
        <v>Early</v>
      </c>
      <c r="J686" s="2" t="s">
        <v>55</v>
      </c>
      <c r="K686" s="2" t="s">
        <v>25</v>
      </c>
      <c r="L686" s="4">
        <v>4</v>
      </c>
      <c r="M686" s="4">
        <v>146.71</v>
      </c>
      <c r="N686" s="4">
        <v>586.84</v>
      </c>
      <c r="O686" s="2" t="s">
        <v>31</v>
      </c>
      <c r="P686" t="str">
        <f>IF('Cleaned Data'!N686&gt;JOTTING!F699,"High Sales","Low Sales")</f>
        <v>High Sales</v>
      </c>
    </row>
    <row r="687" spans="2:16" ht="15" x14ac:dyDescent="0.25">
      <c r="B687" s="2" t="s">
        <v>728</v>
      </c>
      <c r="C687" s="2" t="s">
        <v>753</v>
      </c>
      <c r="D687" s="7">
        <v>2023</v>
      </c>
      <c r="E687" s="7" t="s">
        <v>764</v>
      </c>
      <c r="F687" s="3">
        <v>44962</v>
      </c>
      <c r="G687" s="4">
        <v>628</v>
      </c>
      <c r="H687" s="4">
        <v>9</v>
      </c>
      <c r="I687" s="4" t="str">
        <f t="shared" si="10"/>
        <v>Slow</v>
      </c>
      <c r="J687" s="2" t="s">
        <v>63</v>
      </c>
      <c r="K687" s="2" t="s">
        <v>39</v>
      </c>
      <c r="L687" s="4">
        <v>1</v>
      </c>
      <c r="M687" s="4">
        <v>241.18</v>
      </c>
      <c r="N687" s="4">
        <v>241.18</v>
      </c>
      <c r="O687" s="2" t="s">
        <v>20</v>
      </c>
      <c r="P687" t="str">
        <f>IF('Cleaned Data'!N687&gt;JOTTING!F700,"High Sales","Low Sales")</f>
        <v>High Sales</v>
      </c>
    </row>
    <row r="688" spans="2:16" ht="15" x14ac:dyDescent="0.25">
      <c r="B688" s="2" t="s">
        <v>729</v>
      </c>
      <c r="C688" s="2" t="s">
        <v>753</v>
      </c>
      <c r="D688" s="7">
        <v>2023</v>
      </c>
      <c r="E688" s="7" t="s">
        <v>762</v>
      </c>
      <c r="F688" s="3">
        <v>45126</v>
      </c>
      <c r="G688" s="4">
        <v>955</v>
      </c>
      <c r="H688" s="4">
        <v>5</v>
      </c>
      <c r="I688" s="4" t="str">
        <f t="shared" si="10"/>
        <v>Standard</v>
      </c>
      <c r="J688" s="2" t="s">
        <v>51</v>
      </c>
      <c r="K688" s="2" t="s">
        <v>49</v>
      </c>
      <c r="L688" s="4">
        <v>1</v>
      </c>
      <c r="M688" s="4">
        <v>458.53</v>
      </c>
      <c r="N688" s="4">
        <v>458.53</v>
      </c>
      <c r="O688" s="2" t="s">
        <v>31</v>
      </c>
      <c r="P688" t="str">
        <f>IF('Cleaned Data'!N688&gt;JOTTING!F701,"High Sales","Low Sales")</f>
        <v>High Sales</v>
      </c>
    </row>
    <row r="689" spans="2:16" ht="15" x14ac:dyDescent="0.25">
      <c r="B689" s="2" t="s">
        <v>730</v>
      </c>
      <c r="C689" s="2" t="s">
        <v>755</v>
      </c>
      <c r="D689" s="7">
        <v>2023</v>
      </c>
      <c r="E689" s="7" t="s">
        <v>759</v>
      </c>
      <c r="F689" s="3">
        <v>45256</v>
      </c>
      <c r="G689" s="4">
        <v>888</v>
      </c>
      <c r="H689" s="4">
        <v>7</v>
      </c>
      <c r="I689" s="4" t="str">
        <f t="shared" si="10"/>
        <v>Slow</v>
      </c>
      <c r="J689" s="2" t="s">
        <v>63</v>
      </c>
      <c r="K689" s="2" t="s">
        <v>25</v>
      </c>
      <c r="L689" s="4">
        <v>2</v>
      </c>
      <c r="M689" s="4">
        <v>278.18</v>
      </c>
      <c r="N689" s="4">
        <v>556.36</v>
      </c>
      <c r="O689" s="2" t="s">
        <v>20</v>
      </c>
      <c r="P689" t="str">
        <f>IF('Cleaned Data'!N689&gt;JOTTING!F702,"High Sales","Low Sales")</f>
        <v>High Sales</v>
      </c>
    </row>
    <row r="690" spans="2:16" ht="15" x14ac:dyDescent="0.25">
      <c r="B690" s="2" t="s">
        <v>731</v>
      </c>
      <c r="C690" s="2" t="s">
        <v>757</v>
      </c>
      <c r="D690" s="7">
        <v>2023</v>
      </c>
      <c r="E690" s="7" t="s">
        <v>764</v>
      </c>
      <c r="F690" s="3">
        <v>44959</v>
      </c>
      <c r="G690" s="4">
        <v>918</v>
      </c>
      <c r="H690" s="4">
        <v>2</v>
      </c>
      <c r="I690" s="4" t="str">
        <f t="shared" si="10"/>
        <v>Early</v>
      </c>
      <c r="J690" s="2" t="s">
        <v>18</v>
      </c>
      <c r="K690" s="2" t="s">
        <v>57</v>
      </c>
      <c r="L690" s="4">
        <v>3</v>
      </c>
      <c r="M690" s="4">
        <v>134.56</v>
      </c>
      <c r="N690" s="4">
        <v>403.68</v>
      </c>
      <c r="O690" s="2" t="s">
        <v>43</v>
      </c>
      <c r="P690" t="str">
        <f>IF('Cleaned Data'!N690&gt;JOTTING!F703,"High Sales","Low Sales")</f>
        <v>High Sales</v>
      </c>
    </row>
    <row r="691" spans="2:16" ht="15" x14ac:dyDescent="0.25">
      <c r="B691" s="2" t="s">
        <v>732</v>
      </c>
      <c r="C691" s="2" t="s">
        <v>755</v>
      </c>
      <c r="D691" s="7">
        <v>2023</v>
      </c>
      <c r="E691" s="7" t="s">
        <v>759</v>
      </c>
      <c r="F691" s="3">
        <v>45236</v>
      </c>
      <c r="G691" s="4">
        <v>670</v>
      </c>
      <c r="H691" s="4">
        <v>9</v>
      </c>
      <c r="I691" s="4" t="str">
        <f t="shared" si="10"/>
        <v>Slow</v>
      </c>
      <c r="J691" s="2" t="s">
        <v>24</v>
      </c>
      <c r="K691" s="2" t="s">
        <v>49</v>
      </c>
      <c r="L691" s="4">
        <v>2</v>
      </c>
      <c r="M691" s="4">
        <v>84.64</v>
      </c>
      <c r="N691" s="4">
        <v>169.28</v>
      </c>
      <c r="O691" s="2" t="s">
        <v>31</v>
      </c>
      <c r="P691" t="str">
        <f>IF('Cleaned Data'!N691&gt;JOTTING!F704,"High Sales","Low Sales")</f>
        <v>High Sales</v>
      </c>
    </row>
    <row r="692" spans="2:16" ht="15" x14ac:dyDescent="0.25">
      <c r="B692" s="2" t="s">
        <v>733</v>
      </c>
      <c r="C692" s="2" t="s">
        <v>753</v>
      </c>
      <c r="D692" s="7">
        <v>2023</v>
      </c>
      <c r="E692" s="7" t="s">
        <v>760</v>
      </c>
      <c r="F692" s="3">
        <v>45066</v>
      </c>
      <c r="G692" s="4">
        <v>282</v>
      </c>
      <c r="H692" s="4">
        <v>9</v>
      </c>
      <c r="I692" s="4" t="str">
        <f t="shared" si="10"/>
        <v>Slow</v>
      </c>
      <c r="J692" s="2" t="s">
        <v>30</v>
      </c>
      <c r="K692" s="2" t="s">
        <v>25</v>
      </c>
      <c r="L692" s="4">
        <v>4</v>
      </c>
      <c r="M692" s="4">
        <v>363.27</v>
      </c>
      <c r="N692" s="4">
        <v>1453.08</v>
      </c>
      <c r="O692" s="2" t="s">
        <v>43</v>
      </c>
      <c r="P692" t="str">
        <f>IF('Cleaned Data'!N692&gt;JOTTING!F705,"High Sales","Low Sales")</f>
        <v>High Sales</v>
      </c>
    </row>
    <row r="693" spans="2:16" ht="15" x14ac:dyDescent="0.25">
      <c r="B693" s="2" t="s">
        <v>734</v>
      </c>
      <c r="C693" s="2" t="s">
        <v>757</v>
      </c>
      <c r="D693" s="7">
        <v>2023</v>
      </c>
      <c r="E693" s="7" t="s">
        <v>760</v>
      </c>
      <c r="F693" s="3">
        <v>45048</v>
      </c>
      <c r="G693" s="4">
        <v>140</v>
      </c>
      <c r="H693" s="4">
        <v>4</v>
      </c>
      <c r="I693" s="4" t="str">
        <f t="shared" si="10"/>
        <v>Standard</v>
      </c>
      <c r="J693" s="2" t="s">
        <v>55</v>
      </c>
      <c r="K693" s="2" t="s">
        <v>39</v>
      </c>
      <c r="L693" s="4">
        <v>2</v>
      </c>
      <c r="M693" s="4">
        <v>222.26</v>
      </c>
      <c r="N693" s="4">
        <v>444.52</v>
      </c>
      <c r="O693" s="2" t="s">
        <v>20</v>
      </c>
      <c r="P693" t="str">
        <f>IF('Cleaned Data'!N693&gt;JOTTING!F706,"High Sales","Low Sales")</f>
        <v>High Sales</v>
      </c>
    </row>
    <row r="694" spans="2:16" ht="15" x14ac:dyDescent="0.25">
      <c r="B694" s="2" t="s">
        <v>735</v>
      </c>
      <c r="C694" s="2" t="s">
        <v>754</v>
      </c>
      <c r="D694" s="7">
        <v>2023</v>
      </c>
      <c r="E694" s="7" t="s">
        <v>763</v>
      </c>
      <c r="F694" s="3">
        <v>45287</v>
      </c>
      <c r="G694" s="4">
        <v>650</v>
      </c>
      <c r="H694" s="4">
        <v>4</v>
      </c>
      <c r="I694" s="4" t="str">
        <f t="shared" si="10"/>
        <v>Standard</v>
      </c>
      <c r="J694" s="2" t="s">
        <v>51</v>
      </c>
      <c r="K694" s="2" t="s">
        <v>19</v>
      </c>
      <c r="L694" s="4">
        <v>1</v>
      </c>
      <c r="M694" s="4">
        <v>419.82</v>
      </c>
      <c r="N694" s="4">
        <v>419.82</v>
      </c>
      <c r="O694" s="2" t="s">
        <v>26</v>
      </c>
      <c r="P694" t="str">
        <f>IF('Cleaned Data'!N694&gt;JOTTING!F707,"High Sales","Low Sales")</f>
        <v>High Sales</v>
      </c>
    </row>
    <row r="695" spans="2:16" ht="15" x14ac:dyDescent="0.25">
      <c r="B695" s="2" t="s">
        <v>736</v>
      </c>
      <c r="C695" s="2" t="s">
        <v>755</v>
      </c>
      <c r="D695" s="7">
        <v>2023</v>
      </c>
      <c r="E695" s="7" t="s">
        <v>767</v>
      </c>
      <c r="F695" s="3">
        <v>45006</v>
      </c>
      <c r="G695" s="4">
        <v>496</v>
      </c>
      <c r="H695" s="4">
        <v>6</v>
      </c>
      <c r="I695" s="4" t="str">
        <f t="shared" si="10"/>
        <v>Standard</v>
      </c>
      <c r="J695" s="2" t="s">
        <v>55</v>
      </c>
      <c r="K695" s="2" t="s">
        <v>49</v>
      </c>
      <c r="L695" s="4">
        <v>4</v>
      </c>
      <c r="M695" s="4">
        <v>346.78</v>
      </c>
      <c r="N695" s="4">
        <v>1387.12</v>
      </c>
      <c r="O695" s="2" t="s">
        <v>31</v>
      </c>
      <c r="P695" t="str">
        <f>IF('Cleaned Data'!N695&gt;JOTTING!F708,"High Sales","Low Sales")</f>
        <v>High Sales</v>
      </c>
    </row>
    <row r="696" spans="2:16" ht="15" x14ac:dyDescent="0.25">
      <c r="B696" s="2" t="s">
        <v>737</v>
      </c>
      <c r="C696" s="2" t="s">
        <v>753</v>
      </c>
      <c r="D696" s="7">
        <v>2023</v>
      </c>
      <c r="E696" s="7" t="s">
        <v>766</v>
      </c>
      <c r="F696" s="3">
        <v>45186</v>
      </c>
      <c r="G696" s="4">
        <v>803</v>
      </c>
      <c r="H696" s="4">
        <v>6</v>
      </c>
      <c r="I696" s="4" t="str">
        <f t="shared" si="10"/>
        <v>Standard</v>
      </c>
      <c r="J696" s="2" t="s">
        <v>63</v>
      </c>
      <c r="K696" s="2" t="s">
        <v>25</v>
      </c>
      <c r="L696" s="4">
        <v>1</v>
      </c>
      <c r="M696" s="4">
        <v>408.31</v>
      </c>
      <c r="N696" s="4">
        <v>408.31</v>
      </c>
      <c r="O696" s="2" t="s">
        <v>20</v>
      </c>
      <c r="P696" t="str">
        <f>IF('Cleaned Data'!N696&gt;JOTTING!F709,"High Sales","Low Sales")</f>
        <v>High Sales</v>
      </c>
    </row>
    <row r="697" spans="2:16" ht="15" x14ac:dyDescent="0.25">
      <c r="B697" s="2" t="s">
        <v>738</v>
      </c>
      <c r="C697" s="2" t="s">
        <v>756</v>
      </c>
      <c r="D697" s="7">
        <v>2023</v>
      </c>
      <c r="E697" s="7" t="s">
        <v>770</v>
      </c>
      <c r="F697" s="3">
        <v>45227</v>
      </c>
      <c r="G697" s="4">
        <v>878</v>
      </c>
      <c r="H697" s="4">
        <v>1</v>
      </c>
      <c r="I697" s="4" t="str">
        <f t="shared" si="10"/>
        <v>Early</v>
      </c>
      <c r="J697" s="2" t="s">
        <v>30</v>
      </c>
      <c r="K697" s="2" t="s">
        <v>19</v>
      </c>
      <c r="L697" s="4">
        <v>3</v>
      </c>
      <c r="M697" s="4">
        <v>172.38</v>
      </c>
      <c r="N697" s="4">
        <v>517.14</v>
      </c>
      <c r="O697" s="2" t="s">
        <v>20</v>
      </c>
      <c r="P697" t="str">
        <f>IF('Cleaned Data'!N697&gt;JOTTING!F710,"High Sales","Low Sales")</f>
        <v>High Sales</v>
      </c>
    </row>
    <row r="698" spans="2:16" ht="15" x14ac:dyDescent="0.25">
      <c r="B698" s="2" t="s">
        <v>739</v>
      </c>
      <c r="C698" s="2" t="s">
        <v>753</v>
      </c>
      <c r="D698" s="7">
        <v>2023</v>
      </c>
      <c r="E698" s="7" t="s">
        <v>761</v>
      </c>
      <c r="F698" s="3">
        <v>44951</v>
      </c>
      <c r="G698" s="4">
        <v>593</v>
      </c>
      <c r="H698" s="4">
        <v>9</v>
      </c>
      <c r="I698" s="4" t="str">
        <f t="shared" si="10"/>
        <v>Slow</v>
      </c>
      <c r="J698" s="2" t="s">
        <v>51</v>
      </c>
      <c r="K698" s="2" t="s">
        <v>57</v>
      </c>
      <c r="L698" s="4">
        <v>1</v>
      </c>
      <c r="M698" s="4">
        <v>361.56</v>
      </c>
      <c r="N698" s="4">
        <v>361.56</v>
      </c>
      <c r="O698" s="2" t="s">
        <v>26</v>
      </c>
      <c r="P698" t="str">
        <f>IF('Cleaned Data'!N698&gt;JOTTING!F711,"High Sales","Low Sales")</f>
        <v>High Sales</v>
      </c>
    </row>
    <row r="699" spans="2:16" ht="15" x14ac:dyDescent="0.25">
      <c r="B699" s="2" t="s">
        <v>740</v>
      </c>
      <c r="C699" s="2" t="s">
        <v>757</v>
      </c>
      <c r="D699" s="7">
        <v>2023</v>
      </c>
      <c r="E699" s="7" t="s">
        <v>766</v>
      </c>
      <c r="F699" s="3">
        <v>45173</v>
      </c>
      <c r="G699" s="4">
        <v>758</v>
      </c>
      <c r="H699" s="4">
        <v>2</v>
      </c>
      <c r="I699" s="4" t="str">
        <f t="shared" si="10"/>
        <v>Early</v>
      </c>
      <c r="J699" s="2" t="s">
        <v>24</v>
      </c>
      <c r="K699" s="2" t="s">
        <v>25</v>
      </c>
      <c r="L699" s="4">
        <v>1</v>
      </c>
      <c r="M699" s="4">
        <v>168.83</v>
      </c>
      <c r="N699" s="4">
        <v>168.83</v>
      </c>
      <c r="O699" s="2" t="s">
        <v>31</v>
      </c>
      <c r="P699" t="str">
        <f>IF('Cleaned Data'!N699&gt;JOTTING!F712,"High Sales","Low Sales")</f>
        <v>High Sales</v>
      </c>
    </row>
    <row r="700" spans="2:16" ht="15" x14ac:dyDescent="0.25">
      <c r="B700" s="2" t="s">
        <v>741</v>
      </c>
      <c r="C700" s="2" t="s">
        <v>757</v>
      </c>
      <c r="D700" s="7">
        <v>2023</v>
      </c>
      <c r="E700" s="7" t="s">
        <v>763</v>
      </c>
      <c r="F700" s="3">
        <v>45279</v>
      </c>
      <c r="G700" s="4">
        <v>432</v>
      </c>
      <c r="H700" s="4">
        <v>5</v>
      </c>
      <c r="I700" s="4" t="str">
        <f t="shared" si="10"/>
        <v>Standard</v>
      </c>
      <c r="J700" s="2" t="s">
        <v>55</v>
      </c>
      <c r="K700" s="2" t="s">
        <v>25</v>
      </c>
      <c r="L700" s="4">
        <v>2</v>
      </c>
      <c r="M700" s="4">
        <v>472.58</v>
      </c>
      <c r="N700" s="4">
        <v>945.16</v>
      </c>
      <c r="O700" s="2" t="s">
        <v>26</v>
      </c>
      <c r="P700" t="str">
        <f>IF('Cleaned Data'!N700&gt;JOTTING!F713,"High Sales","Low Sales")</f>
        <v>High Sales</v>
      </c>
    </row>
    <row r="701" spans="2:16" ht="15" x14ac:dyDescent="0.25">
      <c r="B701" s="2" t="s">
        <v>742</v>
      </c>
      <c r="C701" s="2" t="s">
        <v>755</v>
      </c>
      <c r="D701" s="7">
        <v>2023</v>
      </c>
      <c r="E701" s="7" t="s">
        <v>764</v>
      </c>
      <c r="F701" s="3">
        <v>44981</v>
      </c>
      <c r="G701" s="4">
        <v>226</v>
      </c>
      <c r="H701" s="4">
        <v>9</v>
      </c>
      <c r="I701" s="4" t="str">
        <f t="shared" si="10"/>
        <v>Slow</v>
      </c>
      <c r="J701" s="2" t="s">
        <v>42</v>
      </c>
      <c r="K701" s="2" t="s">
        <v>25</v>
      </c>
      <c r="L701" s="4">
        <v>1</v>
      </c>
      <c r="M701" s="4">
        <v>336.37</v>
      </c>
      <c r="N701" s="4">
        <v>336.37</v>
      </c>
      <c r="O701" s="2" t="s">
        <v>31</v>
      </c>
      <c r="P701" t="str">
        <f>IF('Cleaned Data'!N701&gt;JOTTING!F714,"High Sales","Low Sales")</f>
        <v>High Sales</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04D1-95EA-442A-A674-39CF5D1AEEA9}">
  <dimension ref="A1:O40"/>
  <sheetViews>
    <sheetView zoomScale="80" zoomScaleNormal="80" workbookViewId="0">
      <selection activeCell="G37" sqref="G37"/>
    </sheetView>
  </sheetViews>
  <sheetFormatPr defaultRowHeight="12.75" x14ac:dyDescent="0.2"/>
  <cols>
    <col min="1" max="1" width="13.7109375" bestFit="1" customWidth="1"/>
    <col min="2" max="2" width="11.85546875" bestFit="1" customWidth="1"/>
    <col min="3" max="3" width="13.5703125" bestFit="1" customWidth="1"/>
    <col min="4" max="4" width="14.42578125" bestFit="1" customWidth="1"/>
    <col min="5" max="5" width="14.85546875" bestFit="1" customWidth="1"/>
    <col min="6" max="6" width="13.5703125" bestFit="1" customWidth="1"/>
    <col min="7" max="7" width="18.5703125" bestFit="1" customWidth="1"/>
    <col min="8" max="8" width="17" bestFit="1" customWidth="1"/>
    <col min="9" max="9" width="14" bestFit="1" customWidth="1"/>
    <col min="10" max="10" width="11.28515625" bestFit="1" customWidth="1"/>
    <col min="11" max="11" width="10.85546875" bestFit="1" customWidth="1"/>
    <col min="12" max="12" width="11.5703125" bestFit="1" customWidth="1"/>
    <col min="13" max="13" width="12.5703125" bestFit="1" customWidth="1"/>
    <col min="14" max="14" width="11.85546875" bestFit="1" customWidth="1"/>
    <col min="15" max="15" width="14.42578125" bestFit="1" customWidth="1"/>
  </cols>
  <sheetData>
    <row r="1" spans="1:15" x14ac:dyDescent="0.2">
      <c r="A1" s="28" t="s">
        <v>834</v>
      </c>
    </row>
    <row r="3" spans="1:15" x14ac:dyDescent="0.2">
      <c r="A3" t="s">
        <v>0</v>
      </c>
      <c r="B3" t="s">
        <v>3</v>
      </c>
      <c r="C3" t="s">
        <v>810</v>
      </c>
      <c r="D3" t="s">
        <v>758</v>
      </c>
      <c r="E3" t="s">
        <v>5</v>
      </c>
      <c r="F3" t="s">
        <v>6</v>
      </c>
      <c r="G3" t="s">
        <v>7</v>
      </c>
      <c r="H3" t="s">
        <v>803</v>
      </c>
      <c r="I3" t="s">
        <v>771</v>
      </c>
      <c r="J3" t="s">
        <v>9</v>
      </c>
      <c r="K3" t="s">
        <v>10</v>
      </c>
      <c r="L3" t="s">
        <v>11</v>
      </c>
      <c r="M3" t="s">
        <v>12</v>
      </c>
      <c r="N3" t="s">
        <v>13</v>
      </c>
      <c r="O3" t="s">
        <v>781</v>
      </c>
    </row>
    <row r="4" spans="1:15" x14ac:dyDescent="0.2">
      <c r="A4" t="s">
        <v>698</v>
      </c>
      <c r="B4" t="s">
        <v>753</v>
      </c>
      <c r="C4">
        <v>2023</v>
      </c>
      <c r="D4" t="s">
        <v>769</v>
      </c>
      <c r="E4" s="27">
        <v>45023</v>
      </c>
      <c r="F4">
        <v>951</v>
      </c>
      <c r="G4">
        <v>6</v>
      </c>
      <c r="H4" t="s">
        <v>829</v>
      </c>
      <c r="I4" t="s">
        <v>42</v>
      </c>
      <c r="J4" t="s">
        <v>19</v>
      </c>
      <c r="K4">
        <v>1</v>
      </c>
      <c r="L4">
        <v>79.91</v>
      </c>
      <c r="M4">
        <v>79.91</v>
      </c>
      <c r="N4" t="s">
        <v>20</v>
      </c>
      <c r="O4" t="s">
        <v>830</v>
      </c>
    </row>
    <row r="5" spans="1:15" x14ac:dyDescent="0.2">
      <c r="A5" t="s">
        <v>690</v>
      </c>
      <c r="B5" t="s">
        <v>754</v>
      </c>
      <c r="C5">
        <v>2023</v>
      </c>
      <c r="D5" t="s">
        <v>769</v>
      </c>
      <c r="E5" s="27">
        <v>45039</v>
      </c>
      <c r="F5">
        <v>720</v>
      </c>
      <c r="G5">
        <v>5</v>
      </c>
      <c r="H5" t="s">
        <v>829</v>
      </c>
      <c r="I5" t="s">
        <v>63</v>
      </c>
      <c r="J5" t="s">
        <v>57</v>
      </c>
      <c r="K5">
        <v>1</v>
      </c>
      <c r="L5">
        <v>53.76</v>
      </c>
      <c r="M5">
        <v>53.76</v>
      </c>
      <c r="N5" t="s">
        <v>43</v>
      </c>
      <c r="O5" t="s">
        <v>830</v>
      </c>
    </row>
    <row r="6" spans="1:15" x14ac:dyDescent="0.2">
      <c r="A6" t="s">
        <v>661</v>
      </c>
      <c r="B6" t="s">
        <v>753</v>
      </c>
      <c r="C6">
        <v>2023</v>
      </c>
      <c r="D6" t="s">
        <v>769</v>
      </c>
      <c r="E6" s="27">
        <v>45018</v>
      </c>
      <c r="F6">
        <v>871</v>
      </c>
      <c r="G6">
        <v>8</v>
      </c>
      <c r="H6" t="s">
        <v>831</v>
      </c>
      <c r="I6" t="s">
        <v>63</v>
      </c>
      <c r="J6" t="s">
        <v>57</v>
      </c>
      <c r="K6">
        <v>4</v>
      </c>
      <c r="L6">
        <v>259.83999999999997</v>
      </c>
      <c r="M6">
        <v>1039.3599999999999</v>
      </c>
      <c r="N6" t="s">
        <v>26</v>
      </c>
      <c r="O6" t="s">
        <v>830</v>
      </c>
    </row>
    <row r="7" spans="1:15" x14ac:dyDescent="0.2">
      <c r="A7" t="s">
        <v>658</v>
      </c>
      <c r="B7" t="s">
        <v>754</v>
      </c>
      <c r="C7">
        <v>2023</v>
      </c>
      <c r="D7" t="s">
        <v>769</v>
      </c>
      <c r="E7" s="27">
        <v>45037</v>
      </c>
      <c r="F7">
        <v>554</v>
      </c>
      <c r="G7">
        <v>2</v>
      </c>
      <c r="H7" t="s">
        <v>832</v>
      </c>
      <c r="I7" t="s">
        <v>42</v>
      </c>
      <c r="J7" t="s">
        <v>39</v>
      </c>
      <c r="K7">
        <v>2</v>
      </c>
      <c r="L7">
        <v>132.55000000000001</v>
      </c>
      <c r="M7">
        <v>265.10000000000002</v>
      </c>
      <c r="N7" t="s">
        <v>20</v>
      </c>
      <c r="O7" t="s">
        <v>830</v>
      </c>
    </row>
    <row r="8" spans="1:15" x14ac:dyDescent="0.2">
      <c r="A8" t="s">
        <v>651</v>
      </c>
      <c r="B8" t="s">
        <v>754</v>
      </c>
      <c r="C8">
        <v>2023</v>
      </c>
      <c r="D8" t="s">
        <v>769</v>
      </c>
      <c r="E8" s="27">
        <v>45021</v>
      </c>
      <c r="F8">
        <v>632</v>
      </c>
      <c r="G8">
        <v>2</v>
      </c>
      <c r="H8" t="s">
        <v>832</v>
      </c>
      <c r="I8" t="s">
        <v>51</v>
      </c>
      <c r="J8" t="s">
        <v>57</v>
      </c>
      <c r="K8">
        <v>4</v>
      </c>
      <c r="L8">
        <v>375.55</v>
      </c>
      <c r="M8">
        <v>1502.2</v>
      </c>
      <c r="N8" t="s">
        <v>43</v>
      </c>
      <c r="O8" t="s">
        <v>830</v>
      </c>
    </row>
    <row r="9" spans="1:15" x14ac:dyDescent="0.2">
      <c r="A9" t="s">
        <v>623</v>
      </c>
      <c r="B9" t="s">
        <v>757</v>
      </c>
      <c r="C9">
        <v>2023</v>
      </c>
      <c r="D9" t="s">
        <v>769</v>
      </c>
      <c r="E9" s="27">
        <v>45037</v>
      </c>
      <c r="F9">
        <v>968</v>
      </c>
      <c r="G9">
        <v>7</v>
      </c>
      <c r="H9" t="s">
        <v>831</v>
      </c>
      <c r="I9" t="s">
        <v>42</v>
      </c>
      <c r="J9" t="s">
        <v>19</v>
      </c>
      <c r="K9">
        <v>2</v>
      </c>
      <c r="L9">
        <v>365.97</v>
      </c>
      <c r="M9">
        <v>731.94</v>
      </c>
      <c r="N9" t="s">
        <v>26</v>
      </c>
      <c r="O9" t="s">
        <v>830</v>
      </c>
    </row>
    <row r="10" spans="1:15" x14ac:dyDescent="0.2">
      <c r="A10" t="s">
        <v>613</v>
      </c>
      <c r="B10" t="s">
        <v>754</v>
      </c>
      <c r="C10">
        <v>2023</v>
      </c>
      <c r="D10" t="s">
        <v>769</v>
      </c>
      <c r="E10" s="27">
        <v>45028</v>
      </c>
      <c r="F10">
        <v>878</v>
      </c>
      <c r="G10">
        <v>7</v>
      </c>
      <c r="H10" t="s">
        <v>831</v>
      </c>
      <c r="I10" t="s">
        <v>51</v>
      </c>
      <c r="J10" t="s">
        <v>25</v>
      </c>
      <c r="K10">
        <v>2</v>
      </c>
      <c r="L10">
        <v>225.96</v>
      </c>
      <c r="M10">
        <v>451.92</v>
      </c>
      <c r="N10" t="s">
        <v>31</v>
      </c>
      <c r="O10" t="s">
        <v>830</v>
      </c>
    </row>
    <row r="11" spans="1:15" x14ac:dyDescent="0.2">
      <c r="A11" t="s">
        <v>608</v>
      </c>
      <c r="B11" t="s">
        <v>754</v>
      </c>
      <c r="C11">
        <v>2023</v>
      </c>
      <c r="D11" t="s">
        <v>769</v>
      </c>
      <c r="E11" s="27">
        <v>45018</v>
      </c>
      <c r="F11">
        <v>980</v>
      </c>
      <c r="G11">
        <v>8</v>
      </c>
      <c r="H11" t="s">
        <v>831</v>
      </c>
      <c r="I11" t="s">
        <v>63</v>
      </c>
      <c r="J11" t="s">
        <v>39</v>
      </c>
      <c r="K11">
        <v>3</v>
      </c>
      <c r="L11">
        <v>150.06</v>
      </c>
      <c r="M11">
        <v>450.18</v>
      </c>
      <c r="N11" t="s">
        <v>20</v>
      </c>
      <c r="O11" t="s">
        <v>830</v>
      </c>
    </row>
    <row r="12" spans="1:15" x14ac:dyDescent="0.2">
      <c r="A12" t="s">
        <v>597</v>
      </c>
      <c r="B12" t="s">
        <v>757</v>
      </c>
      <c r="C12">
        <v>2023</v>
      </c>
      <c r="D12" t="s">
        <v>769</v>
      </c>
      <c r="E12" s="27">
        <v>45022</v>
      </c>
      <c r="F12">
        <v>972</v>
      </c>
      <c r="G12">
        <v>8</v>
      </c>
      <c r="H12" t="s">
        <v>831</v>
      </c>
      <c r="I12" t="s">
        <v>18</v>
      </c>
      <c r="J12" t="s">
        <v>49</v>
      </c>
      <c r="K12">
        <v>2</v>
      </c>
      <c r="L12">
        <v>373.43</v>
      </c>
      <c r="M12">
        <v>746.86</v>
      </c>
      <c r="N12" t="s">
        <v>20</v>
      </c>
      <c r="O12" t="s">
        <v>830</v>
      </c>
    </row>
    <row r="13" spans="1:15" x14ac:dyDescent="0.2">
      <c r="A13" t="s">
        <v>593</v>
      </c>
      <c r="B13" t="s">
        <v>755</v>
      </c>
      <c r="C13">
        <v>2023</v>
      </c>
      <c r="D13" t="s">
        <v>769</v>
      </c>
      <c r="E13" s="27">
        <v>45021</v>
      </c>
      <c r="F13">
        <v>807</v>
      </c>
      <c r="G13">
        <v>5</v>
      </c>
      <c r="H13" t="s">
        <v>829</v>
      </c>
      <c r="I13" t="s">
        <v>51</v>
      </c>
      <c r="J13" t="s">
        <v>57</v>
      </c>
      <c r="K13">
        <v>4</v>
      </c>
      <c r="L13">
        <v>153.32</v>
      </c>
      <c r="M13">
        <v>613.28</v>
      </c>
      <c r="N13" t="s">
        <v>26</v>
      </c>
      <c r="O13" t="s">
        <v>830</v>
      </c>
    </row>
    <row r="14" spans="1:15" x14ac:dyDescent="0.2">
      <c r="A14" t="s">
        <v>161</v>
      </c>
      <c r="B14" t="s">
        <v>755</v>
      </c>
      <c r="C14">
        <v>2023</v>
      </c>
      <c r="D14" t="s">
        <v>769</v>
      </c>
      <c r="E14" s="27">
        <v>45024</v>
      </c>
      <c r="F14">
        <v>497</v>
      </c>
      <c r="G14">
        <v>5</v>
      </c>
      <c r="H14" t="s">
        <v>829</v>
      </c>
      <c r="I14" t="s">
        <v>30</v>
      </c>
      <c r="J14" t="s">
        <v>39</v>
      </c>
      <c r="K14">
        <v>2</v>
      </c>
      <c r="L14">
        <v>209.49</v>
      </c>
      <c r="M14">
        <v>418.98</v>
      </c>
      <c r="N14" t="s">
        <v>43</v>
      </c>
      <c r="O14" t="s">
        <v>830</v>
      </c>
    </row>
    <row r="15" spans="1:15" x14ac:dyDescent="0.2">
      <c r="A15" t="s">
        <v>574</v>
      </c>
      <c r="B15" t="s">
        <v>757</v>
      </c>
      <c r="C15">
        <v>2023</v>
      </c>
      <c r="D15" t="s">
        <v>769</v>
      </c>
      <c r="E15" s="27">
        <v>45034</v>
      </c>
      <c r="F15">
        <v>886</v>
      </c>
      <c r="G15">
        <v>5</v>
      </c>
      <c r="H15" t="s">
        <v>829</v>
      </c>
      <c r="I15" t="s">
        <v>55</v>
      </c>
      <c r="J15" t="s">
        <v>57</v>
      </c>
      <c r="K15">
        <v>1</v>
      </c>
      <c r="L15">
        <v>197.03</v>
      </c>
      <c r="M15">
        <v>197.03</v>
      </c>
      <c r="N15" t="s">
        <v>43</v>
      </c>
      <c r="O15" t="s">
        <v>830</v>
      </c>
    </row>
    <row r="16" spans="1:15" x14ac:dyDescent="0.2">
      <c r="A16" t="s">
        <v>566</v>
      </c>
      <c r="B16" t="s">
        <v>755</v>
      </c>
      <c r="C16">
        <v>2023</v>
      </c>
      <c r="D16" t="s">
        <v>769</v>
      </c>
      <c r="E16" s="27">
        <v>45031</v>
      </c>
      <c r="F16">
        <v>817</v>
      </c>
      <c r="G16">
        <v>5</v>
      </c>
      <c r="H16" t="s">
        <v>829</v>
      </c>
      <c r="I16" t="s">
        <v>30</v>
      </c>
      <c r="J16" t="s">
        <v>49</v>
      </c>
      <c r="K16">
        <v>2</v>
      </c>
      <c r="L16">
        <v>291</v>
      </c>
      <c r="M16">
        <v>582</v>
      </c>
      <c r="N16" t="s">
        <v>31</v>
      </c>
      <c r="O16" t="s">
        <v>830</v>
      </c>
    </row>
    <row r="17" spans="1:15" x14ac:dyDescent="0.2">
      <c r="A17" t="s">
        <v>553</v>
      </c>
      <c r="B17" t="s">
        <v>753</v>
      </c>
      <c r="C17">
        <v>2023</v>
      </c>
      <c r="D17" t="s">
        <v>769</v>
      </c>
      <c r="E17" s="27">
        <v>45025</v>
      </c>
      <c r="F17">
        <v>253</v>
      </c>
      <c r="G17">
        <v>4</v>
      </c>
      <c r="H17" t="s">
        <v>829</v>
      </c>
      <c r="I17" t="s">
        <v>63</v>
      </c>
      <c r="J17" t="s">
        <v>49</v>
      </c>
      <c r="K17">
        <v>2</v>
      </c>
      <c r="L17">
        <v>121.77</v>
      </c>
      <c r="M17">
        <v>243.54</v>
      </c>
      <c r="N17" t="s">
        <v>26</v>
      </c>
      <c r="O17" t="s">
        <v>830</v>
      </c>
    </row>
    <row r="18" spans="1:15" x14ac:dyDescent="0.2">
      <c r="A18" t="s">
        <v>528</v>
      </c>
      <c r="B18" t="s">
        <v>754</v>
      </c>
      <c r="C18">
        <v>2023</v>
      </c>
      <c r="D18" t="s">
        <v>769</v>
      </c>
      <c r="E18" s="27">
        <v>45029</v>
      </c>
      <c r="F18">
        <v>350</v>
      </c>
      <c r="G18">
        <v>8</v>
      </c>
      <c r="H18" t="s">
        <v>831</v>
      </c>
      <c r="I18" t="s">
        <v>18</v>
      </c>
      <c r="J18" t="s">
        <v>19</v>
      </c>
      <c r="K18">
        <v>2</v>
      </c>
      <c r="L18">
        <v>349.91</v>
      </c>
      <c r="M18">
        <v>699.82</v>
      </c>
      <c r="N18" t="s">
        <v>26</v>
      </c>
      <c r="O18" t="s">
        <v>830</v>
      </c>
    </row>
    <row r="19" spans="1:15" x14ac:dyDescent="0.2">
      <c r="A19" t="s">
        <v>520</v>
      </c>
      <c r="B19" t="s">
        <v>757</v>
      </c>
      <c r="C19">
        <v>2023</v>
      </c>
      <c r="D19" t="s">
        <v>769</v>
      </c>
      <c r="E19" s="27">
        <v>45031</v>
      </c>
      <c r="F19">
        <v>966</v>
      </c>
      <c r="G19">
        <v>3</v>
      </c>
      <c r="H19" t="s">
        <v>829</v>
      </c>
      <c r="I19" t="s">
        <v>30</v>
      </c>
      <c r="J19" t="s">
        <v>19</v>
      </c>
      <c r="K19">
        <v>1</v>
      </c>
      <c r="L19">
        <v>80.81</v>
      </c>
      <c r="M19">
        <v>80.81</v>
      </c>
      <c r="N19" t="s">
        <v>20</v>
      </c>
      <c r="O19" t="s">
        <v>830</v>
      </c>
    </row>
    <row r="20" spans="1:15" x14ac:dyDescent="0.2">
      <c r="A20" t="s">
        <v>516</v>
      </c>
      <c r="B20" t="s">
        <v>755</v>
      </c>
      <c r="C20">
        <v>2023</v>
      </c>
      <c r="D20" t="s">
        <v>769</v>
      </c>
      <c r="E20" s="27">
        <v>45037</v>
      </c>
      <c r="F20">
        <v>559</v>
      </c>
      <c r="G20">
        <v>2</v>
      </c>
      <c r="H20" t="s">
        <v>832</v>
      </c>
      <c r="I20" t="s">
        <v>42</v>
      </c>
      <c r="J20" t="s">
        <v>25</v>
      </c>
      <c r="K20">
        <v>4</v>
      </c>
      <c r="L20">
        <v>327.55</v>
      </c>
      <c r="M20">
        <v>1310.2</v>
      </c>
      <c r="N20" t="s">
        <v>31</v>
      </c>
      <c r="O20" t="s">
        <v>830</v>
      </c>
    </row>
    <row r="21" spans="1:15" x14ac:dyDescent="0.2">
      <c r="A21" t="s">
        <v>508</v>
      </c>
      <c r="B21" t="s">
        <v>756</v>
      </c>
      <c r="C21">
        <v>2023</v>
      </c>
      <c r="D21" t="s">
        <v>769</v>
      </c>
      <c r="E21" s="27">
        <v>45028</v>
      </c>
      <c r="F21">
        <v>242</v>
      </c>
      <c r="G21">
        <v>2</v>
      </c>
      <c r="H21" t="s">
        <v>832</v>
      </c>
      <c r="I21" t="s">
        <v>51</v>
      </c>
      <c r="J21" t="s">
        <v>49</v>
      </c>
      <c r="K21">
        <v>2</v>
      </c>
      <c r="L21">
        <v>86.52</v>
      </c>
      <c r="M21">
        <v>173.04</v>
      </c>
      <c r="N21" t="s">
        <v>43</v>
      </c>
      <c r="O21" t="s">
        <v>830</v>
      </c>
    </row>
    <row r="22" spans="1:15" x14ac:dyDescent="0.2">
      <c r="A22" t="s">
        <v>466</v>
      </c>
      <c r="B22" t="s">
        <v>754</v>
      </c>
      <c r="C22">
        <v>2023</v>
      </c>
      <c r="D22" t="s">
        <v>769</v>
      </c>
      <c r="E22" s="27">
        <v>45045</v>
      </c>
      <c r="F22">
        <v>774</v>
      </c>
      <c r="G22">
        <v>4</v>
      </c>
      <c r="H22" t="s">
        <v>829</v>
      </c>
      <c r="I22" t="s">
        <v>30</v>
      </c>
      <c r="J22" t="s">
        <v>19</v>
      </c>
      <c r="K22">
        <v>3</v>
      </c>
      <c r="L22">
        <v>356.05</v>
      </c>
      <c r="M22">
        <v>1068.1500000000001</v>
      </c>
      <c r="N22" t="s">
        <v>43</v>
      </c>
      <c r="O22" t="s">
        <v>830</v>
      </c>
    </row>
    <row r="23" spans="1:15" x14ac:dyDescent="0.2">
      <c r="A23" t="s">
        <v>421</v>
      </c>
      <c r="B23" t="s">
        <v>754</v>
      </c>
      <c r="C23">
        <v>2023</v>
      </c>
      <c r="D23" t="s">
        <v>769</v>
      </c>
      <c r="E23" s="27">
        <v>45030</v>
      </c>
      <c r="F23">
        <v>605</v>
      </c>
      <c r="G23">
        <v>5</v>
      </c>
      <c r="H23" t="s">
        <v>829</v>
      </c>
      <c r="I23" t="s">
        <v>42</v>
      </c>
      <c r="J23" t="s">
        <v>57</v>
      </c>
      <c r="K23">
        <v>1</v>
      </c>
      <c r="L23">
        <v>130.71</v>
      </c>
      <c r="M23">
        <v>130.71</v>
      </c>
      <c r="N23" t="s">
        <v>31</v>
      </c>
      <c r="O23" t="s">
        <v>830</v>
      </c>
    </row>
    <row r="24" spans="1:15" x14ac:dyDescent="0.2">
      <c r="A24" t="s">
        <v>398</v>
      </c>
      <c r="B24" t="s">
        <v>755</v>
      </c>
      <c r="C24">
        <v>2023</v>
      </c>
      <c r="D24" t="s">
        <v>769</v>
      </c>
      <c r="E24" s="27">
        <v>45020</v>
      </c>
      <c r="F24">
        <v>991</v>
      </c>
      <c r="G24">
        <v>2</v>
      </c>
      <c r="H24" t="s">
        <v>832</v>
      </c>
      <c r="I24" t="s">
        <v>55</v>
      </c>
      <c r="J24" t="s">
        <v>19</v>
      </c>
      <c r="K24">
        <v>1</v>
      </c>
      <c r="L24">
        <v>379.71</v>
      </c>
      <c r="M24">
        <v>379.71</v>
      </c>
      <c r="N24" t="s">
        <v>20</v>
      </c>
      <c r="O24" t="s">
        <v>830</v>
      </c>
    </row>
    <row r="25" spans="1:15" x14ac:dyDescent="0.2">
      <c r="A25" t="s">
        <v>396</v>
      </c>
      <c r="B25" t="s">
        <v>754</v>
      </c>
      <c r="C25">
        <v>2023</v>
      </c>
      <c r="D25" t="s">
        <v>769</v>
      </c>
      <c r="E25" s="27">
        <v>45028</v>
      </c>
      <c r="F25">
        <v>619</v>
      </c>
      <c r="G25">
        <v>4</v>
      </c>
      <c r="H25" t="s">
        <v>829</v>
      </c>
      <c r="I25" t="s">
        <v>51</v>
      </c>
      <c r="J25" t="s">
        <v>25</v>
      </c>
      <c r="K25">
        <v>2</v>
      </c>
      <c r="L25">
        <v>329.58</v>
      </c>
      <c r="M25">
        <v>659.16</v>
      </c>
      <c r="N25" t="s">
        <v>20</v>
      </c>
      <c r="O25" t="s">
        <v>830</v>
      </c>
    </row>
    <row r="26" spans="1:15" x14ac:dyDescent="0.2">
      <c r="A26" t="s">
        <v>395</v>
      </c>
      <c r="B26" t="s">
        <v>753</v>
      </c>
      <c r="C26">
        <v>2023</v>
      </c>
      <c r="D26" t="s">
        <v>769</v>
      </c>
      <c r="E26" s="27">
        <v>45030</v>
      </c>
      <c r="F26">
        <v>228</v>
      </c>
      <c r="G26">
        <v>7</v>
      </c>
      <c r="H26" t="s">
        <v>831</v>
      </c>
      <c r="I26" t="s">
        <v>42</v>
      </c>
      <c r="J26" t="s">
        <v>19</v>
      </c>
      <c r="K26">
        <v>4</v>
      </c>
      <c r="L26">
        <v>208.83</v>
      </c>
      <c r="M26">
        <v>835.32</v>
      </c>
      <c r="N26" t="s">
        <v>26</v>
      </c>
      <c r="O26" t="s">
        <v>830</v>
      </c>
    </row>
    <row r="27" spans="1:15" x14ac:dyDescent="0.2">
      <c r="A27" t="s">
        <v>328</v>
      </c>
      <c r="B27" t="s">
        <v>753</v>
      </c>
      <c r="C27">
        <v>2023</v>
      </c>
      <c r="D27" t="s">
        <v>769</v>
      </c>
      <c r="E27" s="27">
        <v>45025</v>
      </c>
      <c r="F27">
        <v>475</v>
      </c>
      <c r="G27">
        <v>6</v>
      </c>
      <c r="H27" t="s">
        <v>829</v>
      </c>
      <c r="I27" t="s">
        <v>63</v>
      </c>
      <c r="J27" t="s">
        <v>25</v>
      </c>
      <c r="K27">
        <v>3</v>
      </c>
      <c r="L27">
        <v>281.23</v>
      </c>
      <c r="M27">
        <v>843.69</v>
      </c>
      <c r="N27" t="s">
        <v>31</v>
      </c>
      <c r="O27" t="s">
        <v>830</v>
      </c>
    </row>
    <row r="28" spans="1:15" x14ac:dyDescent="0.2">
      <c r="A28" t="s">
        <v>72</v>
      </c>
      <c r="B28" t="s">
        <v>753</v>
      </c>
      <c r="C28">
        <v>2023</v>
      </c>
      <c r="D28" t="s">
        <v>769</v>
      </c>
      <c r="E28" s="27">
        <v>45020</v>
      </c>
      <c r="F28">
        <v>137</v>
      </c>
      <c r="G28">
        <v>7</v>
      </c>
      <c r="H28" t="s">
        <v>831</v>
      </c>
      <c r="I28" t="s">
        <v>55</v>
      </c>
      <c r="J28" t="s">
        <v>19</v>
      </c>
      <c r="K28">
        <v>3</v>
      </c>
      <c r="L28">
        <v>288.92</v>
      </c>
      <c r="M28">
        <v>866.76</v>
      </c>
      <c r="N28" t="s">
        <v>20</v>
      </c>
      <c r="O28" t="s">
        <v>833</v>
      </c>
    </row>
    <row r="29" spans="1:15" x14ac:dyDescent="0.2">
      <c r="A29" t="s">
        <v>319</v>
      </c>
      <c r="B29" t="s">
        <v>753</v>
      </c>
      <c r="C29">
        <v>2023</v>
      </c>
      <c r="D29" t="s">
        <v>769</v>
      </c>
      <c r="E29" s="27">
        <v>45030</v>
      </c>
      <c r="F29">
        <v>376</v>
      </c>
      <c r="G29">
        <v>4</v>
      </c>
      <c r="H29" t="s">
        <v>829</v>
      </c>
      <c r="I29" t="s">
        <v>42</v>
      </c>
      <c r="J29" t="s">
        <v>57</v>
      </c>
      <c r="K29">
        <v>3</v>
      </c>
      <c r="L29">
        <v>312.7</v>
      </c>
      <c r="M29">
        <v>938.1</v>
      </c>
      <c r="N29" t="s">
        <v>43</v>
      </c>
      <c r="O29" t="s">
        <v>830</v>
      </c>
    </row>
    <row r="30" spans="1:15" x14ac:dyDescent="0.2">
      <c r="A30" t="s">
        <v>308</v>
      </c>
      <c r="B30" t="s">
        <v>754</v>
      </c>
      <c r="C30">
        <v>2023</v>
      </c>
      <c r="D30" t="s">
        <v>769</v>
      </c>
      <c r="E30" s="27">
        <v>45036</v>
      </c>
      <c r="F30">
        <v>443</v>
      </c>
      <c r="G30">
        <v>2</v>
      </c>
      <c r="H30" t="s">
        <v>832</v>
      </c>
      <c r="I30" t="s">
        <v>18</v>
      </c>
      <c r="J30" t="s">
        <v>39</v>
      </c>
      <c r="K30">
        <v>4</v>
      </c>
      <c r="L30">
        <v>413.01</v>
      </c>
      <c r="M30">
        <v>1652.04</v>
      </c>
      <c r="N30" t="s">
        <v>20</v>
      </c>
      <c r="O30" t="s">
        <v>830</v>
      </c>
    </row>
    <row r="31" spans="1:15" x14ac:dyDescent="0.2">
      <c r="A31" t="s">
        <v>298</v>
      </c>
      <c r="B31" t="s">
        <v>755</v>
      </c>
      <c r="C31">
        <v>2023</v>
      </c>
      <c r="D31" t="s">
        <v>769</v>
      </c>
      <c r="E31" s="27">
        <v>45045</v>
      </c>
      <c r="F31">
        <v>165</v>
      </c>
      <c r="G31">
        <v>5</v>
      </c>
      <c r="H31" t="s">
        <v>829</v>
      </c>
      <c r="I31" t="s">
        <v>30</v>
      </c>
      <c r="J31" t="s">
        <v>25</v>
      </c>
      <c r="K31">
        <v>2</v>
      </c>
      <c r="L31">
        <v>383.85</v>
      </c>
      <c r="M31">
        <v>767.7</v>
      </c>
      <c r="N31" t="s">
        <v>20</v>
      </c>
      <c r="O31" t="s">
        <v>830</v>
      </c>
    </row>
    <row r="32" spans="1:15" x14ac:dyDescent="0.2">
      <c r="A32" t="s">
        <v>297</v>
      </c>
      <c r="B32" t="s">
        <v>755</v>
      </c>
      <c r="C32">
        <v>2023</v>
      </c>
      <c r="D32" t="s">
        <v>769</v>
      </c>
      <c r="E32" s="27">
        <v>45040</v>
      </c>
      <c r="F32">
        <v>156</v>
      </c>
      <c r="G32">
        <v>4</v>
      </c>
      <c r="H32" t="s">
        <v>829</v>
      </c>
      <c r="I32" t="s">
        <v>24</v>
      </c>
      <c r="J32" t="s">
        <v>39</v>
      </c>
      <c r="K32">
        <v>1</v>
      </c>
      <c r="L32">
        <v>348.37</v>
      </c>
      <c r="M32">
        <v>348.37</v>
      </c>
      <c r="N32" t="s">
        <v>43</v>
      </c>
      <c r="O32" t="s">
        <v>830</v>
      </c>
    </row>
    <row r="33" spans="1:15" x14ac:dyDescent="0.2">
      <c r="A33" t="s">
        <v>287</v>
      </c>
      <c r="B33" t="s">
        <v>755</v>
      </c>
      <c r="C33">
        <v>2023</v>
      </c>
      <c r="D33" t="s">
        <v>769</v>
      </c>
      <c r="E33" s="27">
        <v>45035</v>
      </c>
      <c r="F33">
        <v>593</v>
      </c>
      <c r="G33">
        <v>7</v>
      </c>
      <c r="H33" t="s">
        <v>831</v>
      </c>
      <c r="I33" t="s">
        <v>51</v>
      </c>
      <c r="J33" t="s">
        <v>39</v>
      </c>
      <c r="K33">
        <v>1</v>
      </c>
      <c r="L33">
        <v>74.59</v>
      </c>
      <c r="M33">
        <v>74.59</v>
      </c>
      <c r="N33" t="s">
        <v>26</v>
      </c>
      <c r="O33" t="s">
        <v>830</v>
      </c>
    </row>
    <row r="34" spans="1:15" x14ac:dyDescent="0.2">
      <c r="A34" t="s">
        <v>285</v>
      </c>
      <c r="B34" t="s">
        <v>753</v>
      </c>
      <c r="C34">
        <v>2023</v>
      </c>
      <c r="D34" t="s">
        <v>769</v>
      </c>
      <c r="E34" s="27">
        <v>45045</v>
      </c>
      <c r="F34">
        <v>628</v>
      </c>
      <c r="G34">
        <v>5</v>
      </c>
      <c r="H34" t="s">
        <v>829</v>
      </c>
      <c r="I34" t="s">
        <v>30</v>
      </c>
      <c r="J34" t="s">
        <v>49</v>
      </c>
      <c r="K34">
        <v>2</v>
      </c>
      <c r="L34">
        <v>237.45</v>
      </c>
      <c r="M34">
        <v>474.9</v>
      </c>
      <c r="N34" t="s">
        <v>26</v>
      </c>
      <c r="O34" t="s">
        <v>830</v>
      </c>
    </row>
    <row r="35" spans="1:15" x14ac:dyDescent="0.2">
      <c r="A35" t="s">
        <v>282</v>
      </c>
      <c r="B35" t="s">
        <v>755</v>
      </c>
      <c r="C35">
        <v>2023</v>
      </c>
      <c r="D35" t="s">
        <v>769</v>
      </c>
      <c r="E35" s="27">
        <v>45022</v>
      </c>
      <c r="F35">
        <v>780</v>
      </c>
      <c r="G35">
        <v>5</v>
      </c>
      <c r="H35" t="s">
        <v>829</v>
      </c>
      <c r="I35" t="s">
        <v>18</v>
      </c>
      <c r="J35" t="s">
        <v>57</v>
      </c>
      <c r="K35">
        <v>1</v>
      </c>
      <c r="L35">
        <v>66.91</v>
      </c>
      <c r="M35">
        <v>66.91</v>
      </c>
      <c r="N35" t="s">
        <v>43</v>
      </c>
      <c r="O35" t="s">
        <v>830</v>
      </c>
    </row>
    <row r="36" spans="1:15" x14ac:dyDescent="0.2">
      <c r="A36" t="s">
        <v>260</v>
      </c>
      <c r="B36" t="s">
        <v>753</v>
      </c>
      <c r="C36">
        <v>2023</v>
      </c>
      <c r="D36" t="s">
        <v>769</v>
      </c>
      <c r="E36" s="27">
        <v>45019</v>
      </c>
      <c r="F36">
        <v>404</v>
      </c>
      <c r="G36">
        <v>6</v>
      </c>
      <c r="H36" t="s">
        <v>829</v>
      </c>
      <c r="I36" t="s">
        <v>24</v>
      </c>
      <c r="J36" t="s">
        <v>39</v>
      </c>
      <c r="K36">
        <v>2</v>
      </c>
      <c r="L36">
        <v>273.89</v>
      </c>
      <c r="M36">
        <v>547.78</v>
      </c>
      <c r="N36" t="s">
        <v>43</v>
      </c>
      <c r="O36" t="s">
        <v>830</v>
      </c>
    </row>
    <row r="37" spans="1:15" x14ac:dyDescent="0.2">
      <c r="A37" t="s">
        <v>244</v>
      </c>
      <c r="B37" t="s">
        <v>757</v>
      </c>
      <c r="C37">
        <v>2023</v>
      </c>
      <c r="D37" t="s">
        <v>769</v>
      </c>
      <c r="E37" s="27">
        <v>45025</v>
      </c>
      <c r="F37">
        <v>298</v>
      </c>
      <c r="G37">
        <v>5</v>
      </c>
      <c r="H37" t="s">
        <v>829</v>
      </c>
      <c r="I37" t="s">
        <v>63</v>
      </c>
      <c r="J37" t="s">
        <v>39</v>
      </c>
      <c r="K37">
        <v>4</v>
      </c>
      <c r="L37">
        <v>440.05</v>
      </c>
      <c r="M37">
        <v>1760.2</v>
      </c>
      <c r="N37" t="s">
        <v>20</v>
      </c>
      <c r="O37" t="s">
        <v>830</v>
      </c>
    </row>
    <row r="38" spans="1:15" x14ac:dyDescent="0.2">
      <c r="A38" t="s">
        <v>239</v>
      </c>
      <c r="B38" t="s">
        <v>753</v>
      </c>
      <c r="C38">
        <v>2023</v>
      </c>
      <c r="D38" t="s">
        <v>769</v>
      </c>
      <c r="E38" s="27">
        <v>45041</v>
      </c>
      <c r="F38">
        <v>859</v>
      </c>
      <c r="G38">
        <v>9</v>
      </c>
      <c r="H38" t="s">
        <v>831</v>
      </c>
      <c r="I38" t="s">
        <v>55</v>
      </c>
      <c r="J38" t="s">
        <v>57</v>
      </c>
      <c r="K38">
        <v>1</v>
      </c>
      <c r="L38">
        <v>277.68</v>
      </c>
      <c r="M38">
        <v>277.68</v>
      </c>
      <c r="N38" t="s">
        <v>31</v>
      </c>
      <c r="O38" t="s">
        <v>830</v>
      </c>
    </row>
    <row r="39" spans="1:15" x14ac:dyDescent="0.2">
      <c r="A39" t="s">
        <v>199</v>
      </c>
      <c r="B39" t="s">
        <v>756</v>
      </c>
      <c r="C39">
        <v>2023</v>
      </c>
      <c r="D39" t="s">
        <v>769</v>
      </c>
      <c r="E39" s="27">
        <v>45018</v>
      </c>
      <c r="F39">
        <v>695</v>
      </c>
      <c r="G39">
        <v>8</v>
      </c>
      <c r="H39" t="s">
        <v>831</v>
      </c>
      <c r="I39" t="s">
        <v>63</v>
      </c>
      <c r="J39" t="s">
        <v>19</v>
      </c>
      <c r="K39">
        <v>2</v>
      </c>
      <c r="L39">
        <v>397.23</v>
      </c>
      <c r="M39">
        <v>794.46</v>
      </c>
      <c r="N39" t="s">
        <v>31</v>
      </c>
      <c r="O39" t="s">
        <v>830</v>
      </c>
    </row>
    <row r="40" spans="1:15" x14ac:dyDescent="0.2">
      <c r="A40" t="s">
        <v>110</v>
      </c>
      <c r="B40" t="s">
        <v>756</v>
      </c>
      <c r="C40">
        <v>2023</v>
      </c>
      <c r="D40" t="s">
        <v>769</v>
      </c>
      <c r="E40" s="27">
        <v>45020</v>
      </c>
      <c r="F40">
        <v>641</v>
      </c>
      <c r="G40">
        <v>4</v>
      </c>
      <c r="H40" t="s">
        <v>829</v>
      </c>
      <c r="I40" t="s">
        <v>55</v>
      </c>
      <c r="J40" t="s">
        <v>57</v>
      </c>
      <c r="K40">
        <v>1</v>
      </c>
      <c r="L40">
        <v>79.56</v>
      </c>
      <c r="M40">
        <v>79.56</v>
      </c>
      <c r="N40" t="s">
        <v>20</v>
      </c>
      <c r="O40" t="s">
        <v>830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673A-0DE3-4A66-AE48-DB3AAF88BD84}">
  <dimension ref="C2:K32"/>
  <sheetViews>
    <sheetView zoomScaleNormal="100" workbookViewId="0">
      <selection activeCell="M18" sqref="M18"/>
    </sheetView>
  </sheetViews>
  <sheetFormatPr defaultRowHeight="12.75" x14ac:dyDescent="0.2"/>
  <cols>
    <col min="3" max="3" width="13.85546875" bestFit="1" customWidth="1"/>
    <col min="4" max="4" width="15.7109375" bestFit="1" customWidth="1"/>
    <col min="5" max="5" width="22.140625" bestFit="1" customWidth="1"/>
    <col min="6" max="6" width="13.85546875" bestFit="1" customWidth="1"/>
    <col min="7" max="7" width="17.5703125" bestFit="1" customWidth="1"/>
    <col min="8" max="8" width="17.5703125" customWidth="1"/>
    <col min="9" max="9" width="10.42578125" customWidth="1"/>
    <col min="10" max="10" width="13.85546875" bestFit="1" customWidth="1"/>
    <col min="11" max="12" width="15.7109375" bestFit="1" customWidth="1"/>
  </cols>
  <sheetData>
    <row r="2" spans="3:11" x14ac:dyDescent="0.2">
      <c r="C2" s="21" t="s">
        <v>812</v>
      </c>
      <c r="E2" s="21" t="s">
        <v>816</v>
      </c>
      <c r="G2" s="21" t="s">
        <v>817</v>
      </c>
      <c r="J2" s="21" t="s">
        <v>818</v>
      </c>
    </row>
    <row r="3" spans="3:11" x14ac:dyDescent="0.2">
      <c r="C3" t="s">
        <v>811</v>
      </c>
      <c r="E3" t="s">
        <v>813</v>
      </c>
      <c r="G3" t="s">
        <v>814</v>
      </c>
      <c r="J3" t="s">
        <v>815</v>
      </c>
    </row>
    <row r="4" spans="3:11" x14ac:dyDescent="0.2">
      <c r="C4" s="34">
        <v>700</v>
      </c>
      <c r="E4" s="20">
        <v>575.31571428571431</v>
      </c>
      <c r="G4" s="25">
        <v>472753.71999999968</v>
      </c>
      <c r="J4" s="26">
        <v>1732</v>
      </c>
    </row>
    <row r="7" spans="3:11" x14ac:dyDescent="0.2">
      <c r="C7" s="33" t="s">
        <v>821</v>
      </c>
      <c r="D7" s="33"/>
      <c r="F7" s="33" t="s">
        <v>823</v>
      </c>
      <c r="G7" s="33"/>
      <c r="J7" s="33" t="s">
        <v>824</v>
      </c>
      <c r="K7" s="33"/>
    </row>
    <row r="8" spans="3:11" x14ac:dyDescent="0.2">
      <c r="C8" s="19" t="s">
        <v>820</v>
      </c>
      <c r="D8" t="s">
        <v>814</v>
      </c>
      <c r="F8" s="19" t="s">
        <v>820</v>
      </c>
      <c r="G8" t="s">
        <v>814</v>
      </c>
      <c r="J8" s="19" t="s">
        <v>820</v>
      </c>
      <c r="K8" t="s">
        <v>815</v>
      </c>
    </row>
    <row r="9" spans="3:11" x14ac:dyDescent="0.2">
      <c r="C9" s="22" t="s">
        <v>755</v>
      </c>
      <c r="D9" s="25">
        <v>96469.030000000013</v>
      </c>
      <c r="F9" s="22" t="s">
        <v>761</v>
      </c>
      <c r="G9" s="25">
        <v>44901.229999999996</v>
      </c>
      <c r="J9" s="22" t="s">
        <v>49</v>
      </c>
      <c r="K9" s="34">
        <v>306</v>
      </c>
    </row>
    <row r="10" spans="3:11" x14ac:dyDescent="0.2">
      <c r="C10" s="22" t="s">
        <v>753</v>
      </c>
      <c r="D10" s="25">
        <v>99674.890000000029</v>
      </c>
      <c r="F10" s="22" t="s">
        <v>764</v>
      </c>
      <c r="G10" s="25">
        <v>40006.410000000011</v>
      </c>
      <c r="J10" s="22" t="s">
        <v>25</v>
      </c>
      <c r="K10" s="34">
        <v>409</v>
      </c>
    </row>
    <row r="11" spans="3:11" x14ac:dyDescent="0.2">
      <c r="C11" s="22" t="s">
        <v>757</v>
      </c>
      <c r="D11" s="25">
        <v>97785.499999999985</v>
      </c>
      <c r="F11" s="22" t="s">
        <v>767</v>
      </c>
      <c r="G11" s="25">
        <v>34024.689999999995</v>
      </c>
      <c r="J11" s="22" t="s">
        <v>19</v>
      </c>
      <c r="K11" s="34">
        <v>298</v>
      </c>
    </row>
    <row r="12" spans="3:11" x14ac:dyDescent="0.2">
      <c r="C12" s="22" t="s">
        <v>754</v>
      </c>
      <c r="D12" s="25">
        <v>91964.440000000017</v>
      </c>
      <c r="F12" s="22" t="s">
        <v>769</v>
      </c>
      <c r="G12" s="25">
        <v>22205.719999999994</v>
      </c>
      <c r="J12" s="22" t="s">
        <v>57</v>
      </c>
      <c r="K12" s="34">
        <v>411</v>
      </c>
    </row>
    <row r="13" spans="3:11" x14ac:dyDescent="0.2">
      <c r="C13" s="22" t="s">
        <v>756</v>
      </c>
      <c r="D13" s="25">
        <v>86859.86</v>
      </c>
      <c r="F13" s="22" t="s">
        <v>760</v>
      </c>
      <c r="G13" s="25">
        <v>35976.130000000005</v>
      </c>
      <c r="J13" s="22" t="s">
        <v>39</v>
      </c>
      <c r="K13" s="34">
        <v>308</v>
      </c>
    </row>
    <row r="14" spans="3:11" x14ac:dyDescent="0.2">
      <c r="F14" s="22" t="s">
        <v>765</v>
      </c>
      <c r="G14" s="25">
        <v>46003.37999999999</v>
      </c>
    </row>
    <row r="15" spans="3:11" x14ac:dyDescent="0.2">
      <c r="F15" s="22" t="s">
        <v>762</v>
      </c>
      <c r="G15" s="25">
        <v>42860.610000000022</v>
      </c>
    </row>
    <row r="16" spans="3:11" x14ac:dyDescent="0.2">
      <c r="F16" s="22" t="s">
        <v>768</v>
      </c>
      <c r="G16" s="25">
        <v>43024.690000000017</v>
      </c>
    </row>
    <row r="17" spans="3:11" x14ac:dyDescent="0.2">
      <c r="F17" s="22" t="s">
        <v>766</v>
      </c>
      <c r="G17" s="25">
        <v>36050.97</v>
      </c>
    </row>
    <row r="18" spans="3:11" x14ac:dyDescent="0.2">
      <c r="F18" s="22" t="s">
        <v>770</v>
      </c>
      <c r="G18" s="25">
        <v>44946.789999999994</v>
      </c>
    </row>
    <row r="19" spans="3:11" x14ac:dyDescent="0.2">
      <c r="C19" s="33" t="s">
        <v>825</v>
      </c>
      <c r="D19" s="33"/>
      <c r="F19" s="22" t="s">
        <v>759</v>
      </c>
      <c r="G19" s="25">
        <v>47395.839999999997</v>
      </c>
    </row>
    <row r="20" spans="3:11" x14ac:dyDescent="0.2">
      <c r="C20" s="19" t="s">
        <v>820</v>
      </c>
      <c r="D20" t="s">
        <v>815</v>
      </c>
      <c r="F20" s="22" t="s">
        <v>763</v>
      </c>
      <c r="G20" s="25">
        <v>35357.259999999995</v>
      </c>
    </row>
    <row r="21" spans="3:11" x14ac:dyDescent="0.2">
      <c r="C21" s="22" t="s">
        <v>761</v>
      </c>
      <c r="D21" s="34">
        <v>166</v>
      </c>
    </row>
    <row r="22" spans="3:11" x14ac:dyDescent="0.2">
      <c r="C22" s="22" t="s">
        <v>764</v>
      </c>
      <c r="D22" s="34">
        <v>138</v>
      </c>
      <c r="F22" s="33" t="s">
        <v>826</v>
      </c>
      <c r="G22" s="33"/>
      <c r="J22" s="33" t="s">
        <v>827</v>
      </c>
      <c r="K22" s="33"/>
    </row>
    <row r="23" spans="3:11" x14ac:dyDescent="0.2">
      <c r="C23" s="22" t="s">
        <v>767</v>
      </c>
      <c r="D23" s="34">
        <v>125</v>
      </c>
      <c r="F23" s="19" t="s">
        <v>820</v>
      </c>
      <c r="G23" t="s">
        <v>814</v>
      </c>
      <c r="J23" s="19" t="s">
        <v>820</v>
      </c>
      <c r="K23" t="s">
        <v>814</v>
      </c>
    </row>
    <row r="24" spans="3:11" x14ac:dyDescent="0.2">
      <c r="C24" s="22" t="s">
        <v>769</v>
      </c>
      <c r="D24" s="34">
        <v>82</v>
      </c>
      <c r="F24" s="22" t="s">
        <v>49</v>
      </c>
      <c r="G24" s="23">
        <v>0.18432377433222522</v>
      </c>
      <c r="H24" s="23"/>
      <c r="J24" s="22" t="s">
        <v>43</v>
      </c>
      <c r="K24" s="23">
        <v>0.24706221243483803</v>
      </c>
    </row>
    <row r="25" spans="3:11" x14ac:dyDescent="0.2">
      <c r="C25" s="22" t="s">
        <v>760</v>
      </c>
      <c r="D25" s="34">
        <v>137</v>
      </c>
      <c r="F25" s="22" t="s">
        <v>25</v>
      </c>
      <c r="G25" s="23">
        <v>0.23074528107362116</v>
      </c>
      <c r="H25" s="23"/>
      <c r="J25" s="22" t="s">
        <v>20</v>
      </c>
      <c r="K25" s="23">
        <v>0.27134449624214491</v>
      </c>
    </row>
    <row r="26" spans="3:11" x14ac:dyDescent="0.2">
      <c r="C26" s="22" t="s">
        <v>765</v>
      </c>
      <c r="D26" s="34">
        <v>177</v>
      </c>
      <c r="F26" s="22" t="s">
        <v>19</v>
      </c>
      <c r="G26" s="23">
        <v>0.1602685855121351</v>
      </c>
      <c r="H26" s="23" t="str">
        <f>INDEX(F24:F28,MATCH(MAX(G24:G28),G24:G28,0))</f>
        <v>Phone</v>
      </c>
      <c r="J26" s="22" t="s">
        <v>31</v>
      </c>
      <c r="K26" s="23">
        <v>0.26416081929508667</v>
      </c>
    </row>
    <row r="27" spans="3:11" x14ac:dyDescent="0.2">
      <c r="C27" s="22" t="s">
        <v>762</v>
      </c>
      <c r="D27" s="34">
        <v>177</v>
      </c>
      <c r="F27" s="22" t="s">
        <v>57</v>
      </c>
      <c r="G27" s="23">
        <v>0.23496094330045672</v>
      </c>
      <c r="H27" s="23">
        <f>MAX(G24:G28)</f>
        <v>0.23496094330045672</v>
      </c>
      <c r="J27" s="22" t="s">
        <v>26</v>
      </c>
      <c r="K27" s="23">
        <v>0.21743247202793034</v>
      </c>
    </row>
    <row r="28" spans="3:11" x14ac:dyDescent="0.2">
      <c r="C28" s="22" t="s">
        <v>768</v>
      </c>
      <c r="D28" s="34">
        <v>141</v>
      </c>
      <c r="F28" s="22" t="s">
        <v>39</v>
      </c>
      <c r="G28" s="23">
        <v>0.18970141578156169</v>
      </c>
      <c r="H28" s="23"/>
    </row>
    <row r="29" spans="3:11" x14ac:dyDescent="0.2">
      <c r="C29" s="22" t="s">
        <v>766</v>
      </c>
      <c r="D29" s="34">
        <v>136</v>
      </c>
      <c r="K29" t="str">
        <f>INDEX(J24:J27,MATCH(MAX(K24:K27),K24:K28,0))</f>
        <v>Rep-B</v>
      </c>
    </row>
    <row r="30" spans="3:11" x14ac:dyDescent="0.2">
      <c r="C30" s="22" t="s">
        <v>770</v>
      </c>
      <c r="D30" s="34">
        <v>166</v>
      </c>
      <c r="K30" s="23">
        <f>MAX(K24:K27)</f>
        <v>0.27134449624214491</v>
      </c>
    </row>
    <row r="31" spans="3:11" x14ac:dyDescent="0.2">
      <c r="C31" s="22" t="s">
        <v>759</v>
      </c>
      <c r="D31" s="34">
        <v>159</v>
      </c>
    </row>
    <row r="32" spans="3:11" x14ac:dyDescent="0.2">
      <c r="C32" s="22" t="s">
        <v>763</v>
      </c>
      <c r="D32" s="34">
        <v>128</v>
      </c>
    </row>
  </sheetData>
  <mergeCells count="6">
    <mergeCell ref="F7:G7"/>
    <mergeCell ref="C7:D7"/>
    <mergeCell ref="J7:K7"/>
    <mergeCell ref="C19:D19"/>
    <mergeCell ref="F22:G22"/>
    <mergeCell ref="J22:K22"/>
  </mergeCell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1FD8-1624-44E6-AFE6-F009FCB442E3}">
  <dimension ref="Z21"/>
  <sheetViews>
    <sheetView showGridLines="0" topLeftCell="B1" zoomScale="80" zoomScaleNormal="80" workbookViewId="0">
      <selection activeCell="D11" sqref="D11"/>
    </sheetView>
  </sheetViews>
  <sheetFormatPr defaultRowHeight="12.75" x14ac:dyDescent="0.2"/>
  <cols>
    <col min="1" max="16384" width="9.140625" style="24"/>
  </cols>
  <sheetData>
    <row r="21" spans="26:26" x14ac:dyDescent="0.2">
      <c r="Z21" s="24" t="s">
        <v>828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17EA-4A93-417D-BED0-BF7DB5051168}">
  <dimension ref="Z21"/>
  <sheetViews>
    <sheetView showGridLines="0" topLeftCell="B2" zoomScale="80" zoomScaleNormal="80" workbookViewId="0">
      <selection activeCell="D7" sqref="D7"/>
    </sheetView>
  </sheetViews>
  <sheetFormatPr defaultRowHeight="12.75" x14ac:dyDescent="0.2"/>
  <cols>
    <col min="1" max="16384" width="9.140625" style="24"/>
  </cols>
  <sheetData>
    <row r="21" spans="26:26" x14ac:dyDescent="0.2">
      <c r="Z21" s="24" t="s">
        <v>828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275A-C4FD-490E-A9A0-9CC2B287B478}">
  <dimension ref="Z21"/>
  <sheetViews>
    <sheetView showGridLines="0" tabSelected="1" zoomScale="70" zoomScaleNormal="70" workbookViewId="0">
      <selection activeCell="E12" sqref="E12"/>
    </sheetView>
  </sheetViews>
  <sheetFormatPr defaultRowHeight="12.75" x14ac:dyDescent="0.2"/>
  <cols>
    <col min="1" max="16384" width="9.140625" style="24"/>
  </cols>
  <sheetData>
    <row r="21" spans="26:26" x14ac:dyDescent="0.2">
      <c r="Z21" s="24" t="s">
        <v>828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A8BD8-4A7F-471A-A35B-6D81F02DE01E}">
  <dimension ref="I21:Z41"/>
  <sheetViews>
    <sheetView showGridLines="0" topLeftCell="C1" zoomScale="80" zoomScaleNormal="80" workbookViewId="0">
      <selection activeCell="W18" sqref="W18"/>
    </sheetView>
  </sheetViews>
  <sheetFormatPr defaultRowHeight="12.75" x14ac:dyDescent="0.2"/>
  <cols>
    <col min="1" max="16384" width="9.140625" style="24"/>
  </cols>
  <sheetData>
    <row r="21" spans="26:26" x14ac:dyDescent="0.2">
      <c r="Z21" s="24" t="s">
        <v>828</v>
      </c>
    </row>
    <row r="41" spans="9:9" x14ac:dyDescent="0.2">
      <c r="I41" s="29" t="s">
        <v>835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8823-F1F9-4C62-AE04-16E3BC7BDC33}">
  <dimension ref="I21:Z41"/>
  <sheetViews>
    <sheetView showGridLines="0" zoomScale="80" zoomScaleNormal="80" workbookViewId="0">
      <selection activeCell="E17" sqref="E17"/>
    </sheetView>
  </sheetViews>
  <sheetFormatPr defaultRowHeight="12.75" x14ac:dyDescent="0.2"/>
  <cols>
    <col min="1" max="16384" width="9.140625" style="24"/>
  </cols>
  <sheetData>
    <row r="21" spans="26:26" x14ac:dyDescent="0.2">
      <c r="Z21" s="24" t="s">
        <v>828</v>
      </c>
    </row>
    <row r="41" spans="9:9" x14ac:dyDescent="0.2">
      <c r="I41" s="29" t="s">
        <v>835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Raw Data</vt:lpstr>
      <vt:lpstr>JOTTING</vt:lpstr>
      <vt:lpstr>Cleaned Data</vt:lpstr>
      <vt:lpstr>Detail1</vt:lpstr>
      <vt:lpstr>Tables</vt:lpstr>
      <vt:lpstr>phase 1</vt:lpstr>
      <vt:lpstr>phase 2</vt:lpstr>
      <vt:lpstr>Phase 3</vt:lpstr>
      <vt:lpstr>phase 4</vt:lpstr>
      <vt:lpstr>Phase 5</vt:lpstr>
      <vt:lpstr>AVERAGE_SALES_VALUE</vt:lpstr>
      <vt:lpstr>CUSTOMERS</vt:lpstr>
      <vt:lpstr>top_percentage_product</vt:lpstr>
      <vt:lpstr>top_percentage_rep</vt:lpstr>
      <vt:lpstr>top_product</vt:lpstr>
      <vt:lpstr>top_rep</vt:lpstr>
      <vt:lpstr>TOTAL_CUSTOMERS</vt:lpstr>
      <vt:lpstr>TOTAL_QTY</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the Anayst</cp:lastModifiedBy>
  <dcterms:modified xsi:type="dcterms:W3CDTF">2025-11-22T15:18:16Z</dcterms:modified>
</cp:coreProperties>
</file>